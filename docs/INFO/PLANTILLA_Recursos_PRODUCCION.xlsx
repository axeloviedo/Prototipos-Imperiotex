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ERP IMPERIOTEX\PROTOTIPOS\docs\INFO\"/>
    </mc:Choice>
  </mc:AlternateContent>
  <xr:revisionPtr revIDLastSave="0" documentId="13_ncr:1_{3764663B-AD9B-4421-95CB-817DE26A8882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00 Guía" sheetId="1" r:id="rId1"/>
    <sheet name="Recursos" sheetId="2" r:id="rId2"/>
    <sheet name="Operarios" sheetId="3" r:id="rId3"/>
    <sheet name="Configuraciones" sheetId="4" r:id="rId4"/>
  </sheets>
  <definedNames>
    <definedName name="_xlnm._FilterDatabase" localSheetId="2" hidden="1">Operarios!$A$2:$H$2</definedName>
    <definedName name="_xlnm._FilterDatabase" localSheetId="1" hidden="1">Recursos!$A$1:$L$1</definedName>
    <definedName name="LST_RECURSOS">OFFSET(Recursos!$A$2,0,0,MAX(COUNTIF(Recursos!$A$2:$A$201,"?*"),1),1)</definedName>
    <definedName name="PREFIJO_OPE">Configuraciones!$E$5</definedName>
    <definedName name="PREFIJO_REC">Configuraciones!$D$5</definedName>
    <definedName name="PROV_COD">OFFSET(Configuraciones!$B$69,0,0,MAX(COUNTA(Configuraciones!$B$69:$B$98),1),1)</definedName>
    <definedName name="PROV_NOM">OFFSET(Configuraciones!$C$69,0,0,MAX(COUNTA(Configuraciones!$B$69:$B$98),1),1)</definedName>
    <definedName name="TIPO_SERVICIO">Configuraciones!$F$5</definedName>
    <definedName name="TREC_CLASE">OFFSET(Configuraciones!$D$9,0,0,MAX(COUNTA(Configuraciones!$C$9:$C$20),1),1)</definedName>
    <definedName name="TREC_NOMBRE">OFFSET(Configuraciones!$C$9,0,0,MAX(COUNTA(Configuraciones!$C$9:$C$20),1),1)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52" i="3" l="1"/>
  <c r="F152" i="3"/>
  <c r="E152" i="3"/>
  <c r="D152" i="3"/>
  <c r="A152" i="3"/>
  <c r="G151" i="3"/>
  <c r="F151" i="3"/>
  <c r="E151" i="3"/>
  <c r="D151" i="3"/>
  <c r="A151" i="3"/>
  <c r="G150" i="3"/>
  <c r="F150" i="3"/>
  <c r="E150" i="3"/>
  <c r="D150" i="3"/>
  <c r="A150" i="3"/>
  <c r="G149" i="3"/>
  <c r="F149" i="3"/>
  <c r="E149" i="3"/>
  <c r="D149" i="3"/>
  <c r="A149" i="3"/>
  <c r="G148" i="3"/>
  <c r="F148" i="3"/>
  <c r="E148" i="3"/>
  <c r="D148" i="3"/>
  <c r="A148" i="3"/>
  <c r="G147" i="3"/>
  <c r="F147" i="3"/>
  <c r="E147" i="3"/>
  <c r="D147" i="3"/>
  <c r="A147" i="3"/>
  <c r="G146" i="3"/>
  <c r="F146" i="3"/>
  <c r="E146" i="3"/>
  <c r="D146" i="3"/>
  <c r="A146" i="3"/>
  <c r="G145" i="3"/>
  <c r="F145" i="3"/>
  <c r="E145" i="3"/>
  <c r="D145" i="3"/>
  <c r="A145" i="3"/>
  <c r="G144" i="3"/>
  <c r="F144" i="3"/>
  <c r="E144" i="3"/>
  <c r="D144" i="3"/>
  <c r="A144" i="3"/>
  <c r="G143" i="3"/>
  <c r="F143" i="3"/>
  <c r="E143" i="3"/>
  <c r="D143" i="3"/>
  <c r="A143" i="3"/>
  <c r="G142" i="3"/>
  <c r="F142" i="3"/>
  <c r="E142" i="3"/>
  <c r="D142" i="3"/>
  <c r="A142" i="3"/>
  <c r="G141" i="3"/>
  <c r="F141" i="3"/>
  <c r="E141" i="3"/>
  <c r="D141" i="3"/>
  <c r="A141" i="3"/>
  <c r="G140" i="3"/>
  <c r="F140" i="3"/>
  <c r="E140" i="3"/>
  <c r="D140" i="3"/>
  <c r="A140" i="3"/>
  <c r="G139" i="3"/>
  <c r="F139" i="3"/>
  <c r="E139" i="3"/>
  <c r="D139" i="3"/>
  <c r="A139" i="3"/>
  <c r="G138" i="3"/>
  <c r="F138" i="3"/>
  <c r="E138" i="3"/>
  <c r="D138" i="3"/>
  <c r="A138" i="3"/>
  <c r="G137" i="3"/>
  <c r="F137" i="3"/>
  <c r="E137" i="3"/>
  <c r="D137" i="3"/>
  <c r="A137" i="3"/>
  <c r="G136" i="3"/>
  <c r="F136" i="3"/>
  <c r="E136" i="3"/>
  <c r="D136" i="3"/>
  <c r="A136" i="3"/>
  <c r="G135" i="3"/>
  <c r="F135" i="3"/>
  <c r="E135" i="3"/>
  <c r="D135" i="3"/>
  <c r="A135" i="3"/>
  <c r="G134" i="3"/>
  <c r="F134" i="3"/>
  <c r="E134" i="3"/>
  <c r="D134" i="3"/>
  <c r="A134" i="3"/>
  <c r="G133" i="3"/>
  <c r="F133" i="3"/>
  <c r="E133" i="3"/>
  <c r="D133" i="3"/>
  <c r="A133" i="3"/>
  <c r="G132" i="3"/>
  <c r="F132" i="3"/>
  <c r="E132" i="3"/>
  <c r="D132" i="3"/>
  <c r="A132" i="3"/>
  <c r="G131" i="3"/>
  <c r="F131" i="3"/>
  <c r="E131" i="3"/>
  <c r="D131" i="3"/>
  <c r="A131" i="3"/>
  <c r="G130" i="3"/>
  <c r="F130" i="3"/>
  <c r="E130" i="3"/>
  <c r="D130" i="3"/>
  <c r="A130" i="3"/>
  <c r="G129" i="3"/>
  <c r="F129" i="3"/>
  <c r="E129" i="3"/>
  <c r="D129" i="3"/>
  <c r="A129" i="3"/>
  <c r="G128" i="3"/>
  <c r="F128" i="3"/>
  <c r="E128" i="3"/>
  <c r="D128" i="3"/>
  <c r="A128" i="3"/>
  <c r="G127" i="3"/>
  <c r="F127" i="3"/>
  <c r="E127" i="3"/>
  <c r="D127" i="3"/>
  <c r="A127" i="3"/>
  <c r="G126" i="3"/>
  <c r="F126" i="3"/>
  <c r="E126" i="3"/>
  <c r="D126" i="3"/>
  <c r="A126" i="3"/>
  <c r="G125" i="3"/>
  <c r="F125" i="3"/>
  <c r="E125" i="3"/>
  <c r="D125" i="3"/>
  <c r="A125" i="3"/>
  <c r="G124" i="3"/>
  <c r="F124" i="3"/>
  <c r="E124" i="3"/>
  <c r="D124" i="3"/>
  <c r="A124" i="3"/>
  <c r="G123" i="3"/>
  <c r="F123" i="3"/>
  <c r="E123" i="3"/>
  <c r="D123" i="3"/>
  <c r="A123" i="3"/>
  <c r="G122" i="3"/>
  <c r="F122" i="3"/>
  <c r="E122" i="3"/>
  <c r="D122" i="3"/>
  <c r="A122" i="3"/>
  <c r="G121" i="3"/>
  <c r="F121" i="3"/>
  <c r="E121" i="3"/>
  <c r="D121" i="3"/>
  <c r="A121" i="3"/>
  <c r="G120" i="3"/>
  <c r="F120" i="3"/>
  <c r="E120" i="3"/>
  <c r="D120" i="3"/>
  <c r="A120" i="3"/>
  <c r="G119" i="3"/>
  <c r="F119" i="3"/>
  <c r="E119" i="3"/>
  <c r="D119" i="3"/>
  <c r="A119" i="3"/>
  <c r="G118" i="3"/>
  <c r="F118" i="3"/>
  <c r="E118" i="3"/>
  <c r="D118" i="3"/>
  <c r="A118" i="3"/>
  <c r="G117" i="3"/>
  <c r="F117" i="3"/>
  <c r="E117" i="3"/>
  <c r="D117" i="3"/>
  <c r="A117" i="3"/>
  <c r="G116" i="3"/>
  <c r="F116" i="3"/>
  <c r="E116" i="3"/>
  <c r="D116" i="3"/>
  <c r="A116" i="3"/>
  <c r="G115" i="3"/>
  <c r="F115" i="3"/>
  <c r="E115" i="3"/>
  <c r="D115" i="3"/>
  <c r="A115" i="3"/>
  <c r="G114" i="3"/>
  <c r="F114" i="3"/>
  <c r="E114" i="3"/>
  <c r="D114" i="3"/>
  <c r="A114" i="3"/>
  <c r="G113" i="3"/>
  <c r="F113" i="3"/>
  <c r="E113" i="3"/>
  <c r="D113" i="3"/>
  <c r="A113" i="3"/>
  <c r="G112" i="3"/>
  <c r="F112" i="3"/>
  <c r="E112" i="3"/>
  <c r="D112" i="3"/>
  <c r="A112" i="3"/>
  <c r="G111" i="3"/>
  <c r="F111" i="3"/>
  <c r="E111" i="3"/>
  <c r="D111" i="3"/>
  <c r="A111" i="3"/>
  <c r="G110" i="3"/>
  <c r="F110" i="3"/>
  <c r="E110" i="3"/>
  <c r="D110" i="3"/>
  <c r="A110" i="3"/>
  <c r="G109" i="3"/>
  <c r="F109" i="3"/>
  <c r="E109" i="3"/>
  <c r="D109" i="3"/>
  <c r="A109" i="3"/>
  <c r="G108" i="3"/>
  <c r="F108" i="3"/>
  <c r="E108" i="3"/>
  <c r="D108" i="3"/>
  <c r="A108" i="3"/>
  <c r="G107" i="3"/>
  <c r="F107" i="3"/>
  <c r="E107" i="3"/>
  <c r="D107" i="3"/>
  <c r="A107" i="3"/>
  <c r="G106" i="3"/>
  <c r="F106" i="3"/>
  <c r="E106" i="3"/>
  <c r="D106" i="3"/>
  <c r="A106" i="3"/>
  <c r="G105" i="3"/>
  <c r="F105" i="3"/>
  <c r="E105" i="3"/>
  <c r="D105" i="3"/>
  <c r="A105" i="3"/>
  <c r="G104" i="3"/>
  <c r="F104" i="3"/>
  <c r="E104" i="3"/>
  <c r="D104" i="3"/>
  <c r="A104" i="3"/>
  <c r="G103" i="3"/>
  <c r="F103" i="3"/>
  <c r="E103" i="3"/>
  <c r="D103" i="3"/>
  <c r="A103" i="3"/>
  <c r="G102" i="3"/>
  <c r="F102" i="3"/>
  <c r="E102" i="3"/>
  <c r="D102" i="3"/>
  <c r="A102" i="3"/>
  <c r="G101" i="3"/>
  <c r="F101" i="3"/>
  <c r="E101" i="3"/>
  <c r="D101" i="3"/>
  <c r="A101" i="3"/>
  <c r="G100" i="3"/>
  <c r="F100" i="3"/>
  <c r="E100" i="3"/>
  <c r="D100" i="3"/>
  <c r="A100" i="3"/>
  <c r="G99" i="3"/>
  <c r="F99" i="3"/>
  <c r="E99" i="3"/>
  <c r="D99" i="3"/>
  <c r="A99" i="3"/>
  <c r="G98" i="3"/>
  <c r="F98" i="3"/>
  <c r="E98" i="3"/>
  <c r="D98" i="3"/>
  <c r="A98" i="3"/>
  <c r="G97" i="3"/>
  <c r="F97" i="3"/>
  <c r="E97" i="3"/>
  <c r="D97" i="3"/>
  <c r="A97" i="3"/>
  <c r="G96" i="3"/>
  <c r="F96" i="3"/>
  <c r="E96" i="3"/>
  <c r="D96" i="3"/>
  <c r="A96" i="3"/>
  <c r="G95" i="3"/>
  <c r="F95" i="3"/>
  <c r="E95" i="3"/>
  <c r="D95" i="3"/>
  <c r="A95" i="3"/>
  <c r="G94" i="3"/>
  <c r="F94" i="3"/>
  <c r="E94" i="3"/>
  <c r="D94" i="3"/>
  <c r="A94" i="3"/>
  <c r="G93" i="3"/>
  <c r="F93" i="3"/>
  <c r="E93" i="3"/>
  <c r="D93" i="3"/>
  <c r="A93" i="3"/>
  <c r="G92" i="3"/>
  <c r="F92" i="3"/>
  <c r="E92" i="3"/>
  <c r="D92" i="3"/>
  <c r="A92" i="3"/>
  <c r="G91" i="3"/>
  <c r="F91" i="3"/>
  <c r="E91" i="3"/>
  <c r="D91" i="3"/>
  <c r="A91" i="3"/>
  <c r="G90" i="3"/>
  <c r="F90" i="3"/>
  <c r="E90" i="3"/>
  <c r="D90" i="3"/>
  <c r="A90" i="3"/>
  <c r="G89" i="3"/>
  <c r="F89" i="3"/>
  <c r="E89" i="3"/>
  <c r="D89" i="3"/>
  <c r="A89" i="3"/>
  <c r="G88" i="3"/>
  <c r="F88" i="3"/>
  <c r="E88" i="3"/>
  <c r="D88" i="3"/>
  <c r="A88" i="3"/>
  <c r="G87" i="3"/>
  <c r="F87" i="3"/>
  <c r="E87" i="3"/>
  <c r="D87" i="3"/>
  <c r="A87" i="3"/>
  <c r="G86" i="3"/>
  <c r="F86" i="3"/>
  <c r="E86" i="3"/>
  <c r="D86" i="3"/>
  <c r="A86" i="3"/>
  <c r="G85" i="3"/>
  <c r="F85" i="3"/>
  <c r="E85" i="3"/>
  <c r="D85" i="3"/>
  <c r="A85" i="3"/>
  <c r="G84" i="3"/>
  <c r="F84" i="3"/>
  <c r="E84" i="3"/>
  <c r="D84" i="3"/>
  <c r="A84" i="3"/>
  <c r="G83" i="3"/>
  <c r="F83" i="3"/>
  <c r="E83" i="3"/>
  <c r="D83" i="3"/>
  <c r="A83" i="3"/>
  <c r="G82" i="3"/>
  <c r="F82" i="3"/>
  <c r="E82" i="3"/>
  <c r="D82" i="3"/>
  <c r="A82" i="3"/>
  <c r="G81" i="3"/>
  <c r="F81" i="3"/>
  <c r="E81" i="3"/>
  <c r="D81" i="3"/>
  <c r="A81" i="3"/>
  <c r="G80" i="3"/>
  <c r="F80" i="3"/>
  <c r="E80" i="3"/>
  <c r="D80" i="3"/>
  <c r="A80" i="3"/>
  <c r="G79" i="3"/>
  <c r="F79" i="3"/>
  <c r="E79" i="3"/>
  <c r="D79" i="3"/>
  <c r="A79" i="3"/>
  <c r="G78" i="3"/>
  <c r="F78" i="3"/>
  <c r="E78" i="3"/>
  <c r="D78" i="3"/>
  <c r="A78" i="3"/>
  <c r="G77" i="3"/>
  <c r="F77" i="3"/>
  <c r="E77" i="3"/>
  <c r="D77" i="3"/>
  <c r="A77" i="3"/>
  <c r="G76" i="3"/>
  <c r="F76" i="3"/>
  <c r="E76" i="3"/>
  <c r="D76" i="3"/>
  <c r="A76" i="3"/>
  <c r="G75" i="3"/>
  <c r="F75" i="3"/>
  <c r="E75" i="3"/>
  <c r="D75" i="3"/>
  <c r="A75" i="3"/>
  <c r="G74" i="3"/>
  <c r="F74" i="3"/>
  <c r="E74" i="3"/>
  <c r="D74" i="3"/>
  <c r="A74" i="3"/>
  <c r="G73" i="3"/>
  <c r="F73" i="3"/>
  <c r="E73" i="3"/>
  <c r="D73" i="3"/>
  <c r="A73" i="3"/>
  <c r="G72" i="3"/>
  <c r="F72" i="3"/>
  <c r="E72" i="3"/>
  <c r="D72" i="3"/>
  <c r="A72" i="3"/>
  <c r="G71" i="3"/>
  <c r="F71" i="3"/>
  <c r="E71" i="3"/>
  <c r="D71" i="3"/>
  <c r="A71" i="3"/>
  <c r="G70" i="3"/>
  <c r="F70" i="3"/>
  <c r="E70" i="3"/>
  <c r="D70" i="3"/>
  <c r="A70" i="3"/>
  <c r="G69" i="3"/>
  <c r="F69" i="3"/>
  <c r="E69" i="3"/>
  <c r="D69" i="3"/>
  <c r="A69" i="3"/>
  <c r="G68" i="3"/>
  <c r="F68" i="3"/>
  <c r="E68" i="3"/>
  <c r="D68" i="3"/>
  <c r="A68" i="3"/>
  <c r="G67" i="3"/>
  <c r="F67" i="3"/>
  <c r="E67" i="3"/>
  <c r="D67" i="3"/>
  <c r="A67" i="3"/>
  <c r="G66" i="3"/>
  <c r="F66" i="3"/>
  <c r="E66" i="3"/>
  <c r="D66" i="3"/>
  <c r="A66" i="3"/>
  <c r="G65" i="3"/>
  <c r="F65" i="3"/>
  <c r="E65" i="3"/>
  <c r="D65" i="3"/>
  <c r="A65" i="3"/>
  <c r="G64" i="3"/>
  <c r="F64" i="3"/>
  <c r="E64" i="3"/>
  <c r="D64" i="3"/>
  <c r="A64" i="3"/>
  <c r="G63" i="3"/>
  <c r="F63" i="3"/>
  <c r="E63" i="3"/>
  <c r="D63" i="3"/>
  <c r="A63" i="3"/>
  <c r="G62" i="3"/>
  <c r="F62" i="3"/>
  <c r="E62" i="3"/>
  <c r="D62" i="3"/>
  <c r="A62" i="3"/>
  <c r="G61" i="3"/>
  <c r="F61" i="3"/>
  <c r="E61" i="3"/>
  <c r="D61" i="3"/>
  <c r="A61" i="3"/>
  <c r="G60" i="3"/>
  <c r="F60" i="3"/>
  <c r="E60" i="3"/>
  <c r="D60" i="3"/>
  <c r="A60" i="3"/>
  <c r="G59" i="3"/>
  <c r="F59" i="3"/>
  <c r="E59" i="3"/>
  <c r="D59" i="3"/>
  <c r="A59" i="3"/>
  <c r="G58" i="3"/>
  <c r="F58" i="3"/>
  <c r="E58" i="3"/>
  <c r="D58" i="3"/>
  <c r="A58" i="3"/>
  <c r="G57" i="3"/>
  <c r="F57" i="3"/>
  <c r="E57" i="3"/>
  <c r="D57" i="3"/>
  <c r="A57" i="3"/>
  <c r="G56" i="3"/>
  <c r="F56" i="3"/>
  <c r="E56" i="3"/>
  <c r="D56" i="3"/>
  <c r="A56" i="3"/>
  <c r="G55" i="3"/>
  <c r="F55" i="3"/>
  <c r="E55" i="3"/>
  <c r="D55" i="3"/>
  <c r="A55" i="3"/>
  <c r="G54" i="3"/>
  <c r="F54" i="3"/>
  <c r="E54" i="3"/>
  <c r="D54" i="3"/>
  <c r="A54" i="3"/>
  <c r="G53" i="3"/>
  <c r="F53" i="3"/>
  <c r="E53" i="3"/>
  <c r="D53" i="3"/>
  <c r="A53" i="3"/>
  <c r="G52" i="3"/>
  <c r="F52" i="3"/>
  <c r="E52" i="3"/>
  <c r="D52" i="3"/>
  <c r="A52" i="3"/>
  <c r="G51" i="3"/>
  <c r="F51" i="3"/>
  <c r="E51" i="3"/>
  <c r="D51" i="3"/>
  <c r="A51" i="3"/>
  <c r="G50" i="3"/>
  <c r="F50" i="3"/>
  <c r="E50" i="3"/>
  <c r="D50" i="3"/>
  <c r="A50" i="3"/>
  <c r="G49" i="3"/>
  <c r="F49" i="3"/>
  <c r="E49" i="3"/>
  <c r="D49" i="3"/>
  <c r="A49" i="3"/>
  <c r="G48" i="3"/>
  <c r="F48" i="3"/>
  <c r="E48" i="3"/>
  <c r="D48" i="3"/>
  <c r="A48" i="3"/>
  <c r="G47" i="3"/>
  <c r="F47" i="3"/>
  <c r="E47" i="3"/>
  <c r="D47" i="3"/>
  <c r="A47" i="3"/>
  <c r="G46" i="3"/>
  <c r="F46" i="3"/>
  <c r="E46" i="3"/>
  <c r="D46" i="3"/>
  <c r="A46" i="3"/>
  <c r="G45" i="3"/>
  <c r="F45" i="3"/>
  <c r="E45" i="3"/>
  <c r="D45" i="3"/>
  <c r="A45" i="3"/>
  <c r="G44" i="3"/>
  <c r="F44" i="3"/>
  <c r="E44" i="3"/>
  <c r="D44" i="3"/>
  <c r="A44" i="3"/>
  <c r="G43" i="3"/>
  <c r="F43" i="3"/>
  <c r="E43" i="3"/>
  <c r="D43" i="3"/>
  <c r="A43" i="3"/>
  <c r="G42" i="3"/>
  <c r="F42" i="3"/>
  <c r="E42" i="3"/>
  <c r="D42" i="3"/>
  <c r="A42" i="3"/>
  <c r="G41" i="3"/>
  <c r="F41" i="3"/>
  <c r="E41" i="3"/>
  <c r="D41" i="3"/>
  <c r="A41" i="3"/>
  <c r="G40" i="3"/>
  <c r="F40" i="3"/>
  <c r="E40" i="3"/>
  <c r="D40" i="3"/>
  <c r="A40" i="3"/>
  <c r="G39" i="3"/>
  <c r="F39" i="3"/>
  <c r="E39" i="3"/>
  <c r="D39" i="3"/>
  <c r="A39" i="3"/>
  <c r="G38" i="3"/>
  <c r="F38" i="3"/>
  <c r="E38" i="3"/>
  <c r="D38" i="3"/>
  <c r="A38" i="3"/>
  <c r="G37" i="3"/>
  <c r="F37" i="3"/>
  <c r="E37" i="3"/>
  <c r="D37" i="3"/>
  <c r="A37" i="3"/>
  <c r="G36" i="3"/>
  <c r="F36" i="3"/>
  <c r="E36" i="3"/>
  <c r="D36" i="3"/>
  <c r="A36" i="3"/>
  <c r="G35" i="3"/>
  <c r="F35" i="3"/>
  <c r="E35" i="3"/>
  <c r="D35" i="3"/>
  <c r="A35" i="3"/>
  <c r="G34" i="3"/>
  <c r="F34" i="3"/>
  <c r="E34" i="3"/>
  <c r="D34" i="3"/>
  <c r="A34" i="3"/>
  <c r="G33" i="3"/>
  <c r="F33" i="3"/>
  <c r="E33" i="3"/>
  <c r="D33" i="3"/>
  <c r="A33" i="3"/>
  <c r="G32" i="3"/>
  <c r="F32" i="3"/>
  <c r="E32" i="3"/>
  <c r="D32" i="3"/>
  <c r="A32" i="3"/>
  <c r="G31" i="3"/>
  <c r="F31" i="3"/>
  <c r="E31" i="3"/>
  <c r="D31" i="3"/>
  <c r="A31" i="3"/>
  <c r="G30" i="3"/>
  <c r="F30" i="3"/>
  <c r="E30" i="3"/>
  <c r="D30" i="3"/>
  <c r="A30" i="3"/>
  <c r="G29" i="3"/>
  <c r="F29" i="3"/>
  <c r="E29" i="3"/>
  <c r="D29" i="3"/>
  <c r="A29" i="3"/>
  <c r="G28" i="3"/>
  <c r="F28" i="3"/>
  <c r="E28" i="3"/>
  <c r="D28" i="3"/>
  <c r="A28" i="3"/>
  <c r="G27" i="3"/>
  <c r="F27" i="3"/>
  <c r="E27" i="3"/>
  <c r="D27" i="3"/>
  <c r="A27" i="3"/>
  <c r="G26" i="3"/>
  <c r="F26" i="3"/>
  <c r="E26" i="3"/>
  <c r="D26" i="3"/>
  <c r="A26" i="3"/>
  <c r="G25" i="3"/>
  <c r="F25" i="3"/>
  <c r="E25" i="3"/>
  <c r="D25" i="3"/>
  <c r="A25" i="3"/>
  <c r="G24" i="3"/>
  <c r="F24" i="3"/>
  <c r="E24" i="3"/>
  <c r="D24" i="3"/>
  <c r="A24" i="3"/>
  <c r="G23" i="3"/>
  <c r="F23" i="3"/>
  <c r="E23" i="3"/>
  <c r="D23" i="3"/>
  <c r="A23" i="3"/>
  <c r="G22" i="3"/>
  <c r="F22" i="3"/>
  <c r="E22" i="3"/>
  <c r="D22" i="3"/>
  <c r="A22" i="3"/>
  <c r="G21" i="3"/>
  <c r="F21" i="3"/>
  <c r="E21" i="3"/>
  <c r="D21" i="3"/>
  <c r="A21" i="3"/>
  <c r="G20" i="3"/>
  <c r="F20" i="3"/>
  <c r="E20" i="3"/>
  <c r="D20" i="3"/>
  <c r="A20" i="3"/>
  <c r="G19" i="3"/>
  <c r="F19" i="3"/>
  <c r="E19" i="3"/>
  <c r="D19" i="3"/>
  <c r="A19" i="3"/>
  <c r="G18" i="3"/>
  <c r="F18" i="3"/>
  <c r="E18" i="3"/>
  <c r="D18" i="3"/>
  <c r="A18" i="3"/>
  <c r="G17" i="3"/>
  <c r="F17" i="3"/>
  <c r="E17" i="3"/>
  <c r="D17" i="3"/>
  <c r="A17" i="3"/>
  <c r="G16" i="3"/>
  <c r="F16" i="3"/>
  <c r="E16" i="3"/>
  <c r="D16" i="3"/>
  <c r="A16" i="3"/>
  <c r="G15" i="3"/>
  <c r="F15" i="3"/>
  <c r="E15" i="3"/>
  <c r="D15" i="3"/>
  <c r="A15" i="3"/>
  <c r="G14" i="3"/>
  <c r="F14" i="3"/>
  <c r="E14" i="3"/>
  <c r="D14" i="3"/>
  <c r="A14" i="3"/>
  <c r="G13" i="3"/>
  <c r="F13" i="3"/>
  <c r="E13" i="3"/>
  <c r="D13" i="3"/>
  <c r="A13" i="3"/>
  <c r="G12" i="3"/>
  <c r="F12" i="3"/>
  <c r="E12" i="3"/>
  <c r="D12" i="3"/>
  <c r="A12" i="3"/>
  <c r="G11" i="3"/>
  <c r="F11" i="3"/>
  <c r="E11" i="3"/>
  <c r="D11" i="3"/>
  <c r="A11" i="3"/>
  <c r="G10" i="3"/>
  <c r="F10" i="3"/>
  <c r="E10" i="3"/>
  <c r="D10" i="3"/>
  <c r="A10" i="3"/>
  <c r="G9" i="3"/>
  <c r="F9" i="3"/>
  <c r="E9" i="3"/>
  <c r="D9" i="3"/>
  <c r="A9" i="3"/>
  <c r="G8" i="3"/>
  <c r="F8" i="3"/>
  <c r="E8" i="3"/>
  <c r="D8" i="3"/>
  <c r="A8" i="3"/>
  <c r="G7" i="3"/>
  <c r="F7" i="3"/>
  <c r="E7" i="3"/>
  <c r="D7" i="3"/>
  <c r="A7" i="3"/>
  <c r="G6" i="3"/>
  <c r="F6" i="3"/>
  <c r="E6" i="3"/>
  <c r="D6" i="3"/>
  <c r="A6" i="3"/>
  <c r="G5" i="3"/>
  <c r="F5" i="3"/>
  <c r="E5" i="3"/>
  <c r="D5" i="3"/>
  <c r="A5" i="3"/>
  <c r="G4" i="3"/>
  <c r="F4" i="3"/>
  <c r="E4" i="3"/>
  <c r="D4" i="3"/>
  <c r="A4" i="3"/>
  <c r="A3" i="3"/>
  <c r="K201" i="2"/>
  <c r="C201" i="2"/>
  <c r="A201" i="2"/>
  <c r="K200" i="2"/>
  <c r="C200" i="2"/>
  <c r="A200" i="2"/>
  <c r="K199" i="2"/>
  <c r="C199" i="2"/>
  <c r="A199" i="2"/>
  <c r="K198" i="2"/>
  <c r="C198" i="2"/>
  <c r="A198" i="2"/>
  <c r="K197" i="2"/>
  <c r="C197" i="2"/>
  <c r="A197" i="2"/>
  <c r="K196" i="2"/>
  <c r="C196" i="2"/>
  <c r="A196" i="2"/>
  <c r="K195" i="2"/>
  <c r="C195" i="2"/>
  <c r="A195" i="2"/>
  <c r="K194" i="2"/>
  <c r="C194" i="2"/>
  <c r="A194" i="2"/>
  <c r="K193" i="2"/>
  <c r="C193" i="2"/>
  <c r="A193" i="2"/>
  <c r="K192" i="2"/>
  <c r="C192" i="2"/>
  <c r="A192" i="2"/>
  <c r="K191" i="2"/>
  <c r="C191" i="2"/>
  <c r="A191" i="2"/>
  <c r="K190" i="2"/>
  <c r="C190" i="2"/>
  <c r="A190" i="2"/>
  <c r="K189" i="2"/>
  <c r="C189" i="2"/>
  <c r="A189" i="2"/>
  <c r="K188" i="2"/>
  <c r="C188" i="2"/>
  <c r="A188" i="2"/>
  <c r="K187" i="2"/>
  <c r="C187" i="2"/>
  <c r="A187" i="2"/>
  <c r="K186" i="2"/>
  <c r="C186" i="2"/>
  <c r="A186" i="2"/>
  <c r="K185" i="2"/>
  <c r="C185" i="2"/>
  <c r="A185" i="2"/>
  <c r="K184" i="2"/>
  <c r="C184" i="2"/>
  <c r="A184" i="2"/>
  <c r="K183" i="2"/>
  <c r="C183" i="2"/>
  <c r="A183" i="2"/>
  <c r="K182" i="2"/>
  <c r="C182" i="2"/>
  <c r="A182" i="2"/>
  <c r="K181" i="2"/>
  <c r="C181" i="2"/>
  <c r="A181" i="2"/>
  <c r="K180" i="2"/>
  <c r="C180" i="2"/>
  <c r="A180" i="2"/>
  <c r="K179" i="2"/>
  <c r="C179" i="2"/>
  <c r="A179" i="2"/>
  <c r="K178" i="2"/>
  <c r="C178" i="2"/>
  <c r="A178" i="2"/>
  <c r="K177" i="2"/>
  <c r="C177" i="2"/>
  <c r="A177" i="2"/>
  <c r="K176" i="2"/>
  <c r="C176" i="2"/>
  <c r="A176" i="2"/>
  <c r="K175" i="2"/>
  <c r="C175" i="2"/>
  <c r="A175" i="2"/>
  <c r="K174" i="2"/>
  <c r="C174" i="2"/>
  <c r="A174" i="2"/>
  <c r="K173" i="2"/>
  <c r="C173" i="2"/>
  <c r="A173" i="2"/>
  <c r="K172" i="2"/>
  <c r="C172" i="2"/>
  <c r="A172" i="2"/>
  <c r="K171" i="2"/>
  <c r="C171" i="2"/>
  <c r="A171" i="2"/>
  <c r="K170" i="2"/>
  <c r="C170" i="2"/>
  <c r="A170" i="2"/>
  <c r="K169" i="2"/>
  <c r="C169" i="2"/>
  <c r="A169" i="2"/>
  <c r="K168" i="2"/>
  <c r="C168" i="2"/>
  <c r="A168" i="2"/>
  <c r="K167" i="2"/>
  <c r="C167" i="2"/>
  <c r="A167" i="2"/>
  <c r="K166" i="2"/>
  <c r="C166" i="2"/>
  <c r="A166" i="2"/>
  <c r="K165" i="2"/>
  <c r="C165" i="2"/>
  <c r="A165" i="2"/>
  <c r="K164" i="2"/>
  <c r="C164" i="2"/>
  <c r="A164" i="2"/>
  <c r="K163" i="2"/>
  <c r="C163" i="2"/>
  <c r="A163" i="2"/>
  <c r="K162" i="2"/>
  <c r="C162" i="2"/>
  <c r="A162" i="2"/>
  <c r="K161" i="2"/>
  <c r="C161" i="2"/>
  <c r="A161" i="2"/>
  <c r="K160" i="2"/>
  <c r="C160" i="2"/>
  <c r="A160" i="2"/>
  <c r="K159" i="2"/>
  <c r="C159" i="2"/>
  <c r="A159" i="2"/>
  <c r="K158" i="2"/>
  <c r="C158" i="2"/>
  <c r="A158" i="2"/>
  <c r="K157" i="2"/>
  <c r="C157" i="2"/>
  <c r="A157" i="2"/>
  <c r="K156" i="2"/>
  <c r="C156" i="2"/>
  <c r="A156" i="2"/>
  <c r="K155" i="2"/>
  <c r="C155" i="2"/>
  <c r="A155" i="2"/>
  <c r="K154" i="2"/>
  <c r="C154" i="2"/>
  <c r="A154" i="2"/>
  <c r="K153" i="2"/>
  <c r="C153" i="2"/>
  <c r="A153" i="2"/>
  <c r="K152" i="2"/>
  <c r="C152" i="2"/>
  <c r="A152" i="2"/>
  <c r="K151" i="2"/>
  <c r="C151" i="2"/>
  <c r="A151" i="2"/>
  <c r="K150" i="2"/>
  <c r="C150" i="2"/>
  <c r="A150" i="2"/>
  <c r="K149" i="2"/>
  <c r="C149" i="2"/>
  <c r="A149" i="2"/>
  <c r="K148" i="2"/>
  <c r="C148" i="2"/>
  <c r="A148" i="2"/>
  <c r="K147" i="2"/>
  <c r="C147" i="2"/>
  <c r="A147" i="2"/>
  <c r="K146" i="2"/>
  <c r="C146" i="2"/>
  <c r="A146" i="2"/>
  <c r="K145" i="2"/>
  <c r="C145" i="2"/>
  <c r="A145" i="2"/>
  <c r="K144" i="2"/>
  <c r="C144" i="2"/>
  <c r="A144" i="2"/>
  <c r="K143" i="2"/>
  <c r="C143" i="2"/>
  <c r="A143" i="2"/>
  <c r="K142" i="2"/>
  <c r="C142" i="2"/>
  <c r="A142" i="2"/>
  <c r="K141" i="2"/>
  <c r="C141" i="2"/>
  <c r="A141" i="2"/>
  <c r="K140" i="2"/>
  <c r="C140" i="2"/>
  <c r="A140" i="2"/>
  <c r="K139" i="2"/>
  <c r="C139" i="2"/>
  <c r="A139" i="2"/>
  <c r="K138" i="2"/>
  <c r="C138" i="2"/>
  <c r="A138" i="2"/>
  <c r="K137" i="2"/>
  <c r="C137" i="2"/>
  <c r="A137" i="2"/>
  <c r="K136" i="2"/>
  <c r="C136" i="2"/>
  <c r="A136" i="2"/>
  <c r="K135" i="2"/>
  <c r="C135" i="2"/>
  <c r="A135" i="2"/>
  <c r="K134" i="2"/>
  <c r="C134" i="2"/>
  <c r="A134" i="2"/>
  <c r="K133" i="2"/>
  <c r="C133" i="2"/>
  <c r="A133" i="2"/>
  <c r="K132" i="2"/>
  <c r="C132" i="2"/>
  <c r="A132" i="2"/>
  <c r="K131" i="2"/>
  <c r="C131" i="2"/>
  <c r="A131" i="2"/>
  <c r="K130" i="2"/>
  <c r="C130" i="2"/>
  <c r="A130" i="2"/>
  <c r="K129" i="2"/>
  <c r="C129" i="2"/>
  <c r="A129" i="2"/>
  <c r="K128" i="2"/>
  <c r="C128" i="2"/>
  <c r="A128" i="2"/>
  <c r="K127" i="2"/>
  <c r="C127" i="2"/>
  <c r="A127" i="2"/>
  <c r="K126" i="2"/>
  <c r="C126" i="2"/>
  <c r="A126" i="2"/>
  <c r="K125" i="2"/>
  <c r="C125" i="2"/>
  <c r="A125" i="2"/>
  <c r="K124" i="2"/>
  <c r="C124" i="2"/>
  <c r="A124" i="2"/>
  <c r="K123" i="2"/>
  <c r="C123" i="2"/>
  <c r="A123" i="2"/>
  <c r="K122" i="2"/>
  <c r="C122" i="2"/>
  <c r="A122" i="2"/>
  <c r="K121" i="2"/>
  <c r="C121" i="2"/>
  <c r="A121" i="2"/>
  <c r="K120" i="2"/>
  <c r="C120" i="2"/>
  <c r="A120" i="2"/>
  <c r="K119" i="2"/>
  <c r="C119" i="2"/>
  <c r="A119" i="2"/>
  <c r="K118" i="2"/>
  <c r="C118" i="2"/>
  <c r="A118" i="2"/>
  <c r="K117" i="2"/>
  <c r="C117" i="2"/>
  <c r="A117" i="2"/>
  <c r="K116" i="2"/>
  <c r="C116" i="2"/>
  <c r="A116" i="2"/>
  <c r="K115" i="2"/>
  <c r="C115" i="2"/>
  <c r="A115" i="2"/>
  <c r="K114" i="2"/>
  <c r="C114" i="2"/>
  <c r="A114" i="2"/>
  <c r="K113" i="2"/>
  <c r="C113" i="2"/>
  <c r="A113" i="2"/>
  <c r="K112" i="2"/>
  <c r="C112" i="2"/>
  <c r="A112" i="2"/>
  <c r="K111" i="2"/>
  <c r="C111" i="2"/>
  <c r="A111" i="2"/>
  <c r="K110" i="2"/>
  <c r="C110" i="2"/>
  <c r="A110" i="2"/>
  <c r="K109" i="2"/>
  <c r="C109" i="2"/>
  <c r="A109" i="2"/>
  <c r="K108" i="2"/>
  <c r="C108" i="2"/>
  <c r="A108" i="2"/>
  <c r="K107" i="2"/>
  <c r="C107" i="2"/>
  <c r="A107" i="2"/>
  <c r="K106" i="2"/>
  <c r="C106" i="2"/>
  <c r="A106" i="2"/>
  <c r="K105" i="2"/>
  <c r="C105" i="2"/>
  <c r="A105" i="2"/>
  <c r="K104" i="2"/>
  <c r="C104" i="2"/>
  <c r="A104" i="2"/>
  <c r="K103" i="2"/>
  <c r="C103" i="2"/>
  <c r="A103" i="2"/>
  <c r="K102" i="2"/>
  <c r="C102" i="2"/>
  <c r="A102" i="2"/>
  <c r="K101" i="2"/>
  <c r="C101" i="2"/>
  <c r="A101" i="2"/>
  <c r="K100" i="2"/>
  <c r="C100" i="2"/>
  <c r="A100" i="2"/>
  <c r="K99" i="2"/>
  <c r="C99" i="2"/>
  <c r="A99" i="2"/>
  <c r="K98" i="2"/>
  <c r="C98" i="2"/>
  <c r="A98" i="2"/>
  <c r="K97" i="2"/>
  <c r="C97" i="2"/>
  <c r="A97" i="2"/>
  <c r="K96" i="2"/>
  <c r="C96" i="2"/>
  <c r="A96" i="2"/>
  <c r="K95" i="2"/>
  <c r="C95" i="2"/>
  <c r="A95" i="2"/>
  <c r="K94" i="2"/>
  <c r="C94" i="2"/>
  <c r="A94" i="2"/>
  <c r="K93" i="2"/>
  <c r="C93" i="2"/>
  <c r="A93" i="2"/>
  <c r="K92" i="2"/>
  <c r="C92" i="2"/>
  <c r="A92" i="2"/>
  <c r="K91" i="2"/>
  <c r="C91" i="2"/>
  <c r="A91" i="2"/>
  <c r="K90" i="2"/>
  <c r="C90" i="2"/>
  <c r="A90" i="2"/>
  <c r="K89" i="2"/>
  <c r="C89" i="2"/>
  <c r="A89" i="2"/>
  <c r="K88" i="2"/>
  <c r="C88" i="2"/>
  <c r="A88" i="2"/>
  <c r="K87" i="2"/>
  <c r="C87" i="2"/>
  <c r="A87" i="2"/>
  <c r="K86" i="2"/>
  <c r="C86" i="2"/>
  <c r="A86" i="2"/>
  <c r="K85" i="2"/>
  <c r="C85" i="2"/>
  <c r="A85" i="2"/>
  <c r="K84" i="2"/>
  <c r="C84" i="2"/>
  <c r="A84" i="2"/>
  <c r="K83" i="2"/>
  <c r="C83" i="2"/>
  <c r="A83" i="2"/>
  <c r="K82" i="2"/>
  <c r="C82" i="2"/>
  <c r="A82" i="2"/>
  <c r="K81" i="2"/>
  <c r="C81" i="2"/>
  <c r="A81" i="2"/>
  <c r="K80" i="2"/>
  <c r="C80" i="2"/>
  <c r="A80" i="2"/>
  <c r="K79" i="2"/>
  <c r="C79" i="2"/>
  <c r="A79" i="2"/>
  <c r="K78" i="2"/>
  <c r="C78" i="2"/>
  <c r="A78" i="2"/>
  <c r="K77" i="2"/>
  <c r="C77" i="2"/>
  <c r="A77" i="2"/>
  <c r="K76" i="2"/>
  <c r="C76" i="2"/>
  <c r="A76" i="2"/>
  <c r="K75" i="2"/>
  <c r="C75" i="2"/>
  <c r="A75" i="2"/>
  <c r="K74" i="2"/>
  <c r="C74" i="2"/>
  <c r="A74" i="2"/>
  <c r="K73" i="2"/>
  <c r="C73" i="2"/>
  <c r="A73" i="2"/>
  <c r="K72" i="2"/>
  <c r="C72" i="2"/>
  <c r="A72" i="2"/>
  <c r="K71" i="2"/>
  <c r="C71" i="2"/>
  <c r="A71" i="2"/>
  <c r="K70" i="2"/>
  <c r="C70" i="2"/>
  <c r="A70" i="2"/>
  <c r="K69" i="2"/>
  <c r="C69" i="2"/>
  <c r="A69" i="2"/>
  <c r="K68" i="2"/>
  <c r="C68" i="2"/>
  <c r="A68" i="2"/>
  <c r="K67" i="2"/>
  <c r="C67" i="2"/>
  <c r="A67" i="2"/>
  <c r="K66" i="2"/>
  <c r="C66" i="2"/>
  <c r="A66" i="2"/>
  <c r="K65" i="2"/>
  <c r="C65" i="2"/>
  <c r="A65" i="2"/>
  <c r="K64" i="2"/>
  <c r="C64" i="2"/>
  <c r="A64" i="2"/>
  <c r="K63" i="2"/>
  <c r="C63" i="2"/>
  <c r="A63" i="2"/>
  <c r="K62" i="2"/>
  <c r="C62" i="2"/>
  <c r="A62" i="2"/>
  <c r="K61" i="2"/>
  <c r="C61" i="2"/>
  <c r="A61" i="2"/>
  <c r="K60" i="2"/>
  <c r="C60" i="2"/>
  <c r="A60" i="2"/>
  <c r="K59" i="2"/>
  <c r="C59" i="2"/>
  <c r="A59" i="2"/>
  <c r="K58" i="2"/>
  <c r="C58" i="2"/>
  <c r="A58" i="2"/>
  <c r="K57" i="2"/>
  <c r="C57" i="2"/>
  <c r="A57" i="2"/>
  <c r="K56" i="2"/>
  <c r="C56" i="2"/>
  <c r="A56" i="2"/>
  <c r="K55" i="2"/>
  <c r="C55" i="2"/>
  <c r="A55" i="2"/>
  <c r="K54" i="2"/>
  <c r="C54" i="2"/>
  <c r="A54" i="2"/>
  <c r="K53" i="2"/>
  <c r="C53" i="2"/>
  <c r="A53" i="2"/>
  <c r="K52" i="2"/>
  <c r="C52" i="2"/>
  <c r="A52" i="2"/>
  <c r="K51" i="2"/>
  <c r="C51" i="2"/>
  <c r="A51" i="2"/>
  <c r="K50" i="2"/>
  <c r="C50" i="2"/>
  <c r="A50" i="2"/>
  <c r="K49" i="2"/>
  <c r="C49" i="2"/>
  <c r="A49" i="2"/>
  <c r="K48" i="2"/>
  <c r="C48" i="2"/>
  <c r="A48" i="2"/>
  <c r="K47" i="2"/>
  <c r="C47" i="2"/>
  <c r="A47" i="2"/>
  <c r="K46" i="2"/>
  <c r="C46" i="2"/>
  <c r="A46" i="2"/>
  <c r="K45" i="2"/>
  <c r="C45" i="2"/>
  <c r="A45" i="2"/>
  <c r="K44" i="2"/>
  <c r="C44" i="2"/>
  <c r="A44" i="2"/>
  <c r="K43" i="2"/>
  <c r="C43" i="2"/>
  <c r="A43" i="2"/>
  <c r="K42" i="2"/>
  <c r="C42" i="2"/>
  <c r="A42" i="2"/>
  <c r="K41" i="2"/>
  <c r="C41" i="2"/>
  <c r="A41" i="2"/>
  <c r="K40" i="2"/>
  <c r="C40" i="2"/>
  <c r="A40" i="2"/>
  <c r="K39" i="2"/>
  <c r="C39" i="2"/>
  <c r="A39" i="2"/>
  <c r="K38" i="2"/>
  <c r="C38" i="2"/>
  <c r="A38" i="2"/>
  <c r="K37" i="2"/>
  <c r="C37" i="2"/>
  <c r="A37" i="2"/>
  <c r="K36" i="2"/>
  <c r="C36" i="2"/>
  <c r="A36" i="2"/>
  <c r="K35" i="2"/>
  <c r="C35" i="2"/>
  <c r="A35" i="2"/>
  <c r="K34" i="2"/>
  <c r="C34" i="2"/>
  <c r="A34" i="2"/>
  <c r="K33" i="2"/>
  <c r="C33" i="2"/>
  <c r="A33" i="2"/>
  <c r="K32" i="2"/>
  <c r="C32" i="2"/>
  <c r="A32" i="2"/>
  <c r="K31" i="2"/>
  <c r="C31" i="2"/>
  <c r="A31" i="2"/>
  <c r="K30" i="2"/>
  <c r="C30" i="2"/>
  <c r="A30" i="2"/>
  <c r="K29" i="2"/>
  <c r="C29" i="2"/>
  <c r="A29" i="2"/>
  <c r="K28" i="2"/>
  <c r="C28" i="2"/>
  <c r="A28" i="2"/>
  <c r="K27" i="2"/>
  <c r="C27" i="2"/>
  <c r="A27" i="2"/>
  <c r="K26" i="2"/>
  <c r="C26" i="2"/>
  <c r="A26" i="2"/>
  <c r="K25" i="2"/>
  <c r="C25" i="2"/>
  <c r="A25" i="2"/>
  <c r="K24" i="2"/>
  <c r="C24" i="2"/>
  <c r="A24" i="2"/>
  <c r="K23" i="2"/>
  <c r="C23" i="2"/>
  <c r="A23" i="2"/>
  <c r="K22" i="2"/>
  <c r="C22" i="2"/>
  <c r="A22" i="2"/>
  <c r="K21" i="2"/>
  <c r="C21" i="2"/>
  <c r="A21" i="2"/>
  <c r="K20" i="2"/>
  <c r="C20" i="2"/>
  <c r="A20" i="2"/>
  <c r="K19" i="2"/>
  <c r="C19" i="2"/>
  <c r="A19" i="2"/>
  <c r="K18" i="2"/>
  <c r="C18" i="2"/>
  <c r="A18" i="2"/>
  <c r="K17" i="2"/>
  <c r="C17" i="2"/>
  <c r="A17" i="2"/>
  <c r="K16" i="2"/>
  <c r="C16" i="2"/>
  <c r="A16" i="2"/>
  <c r="K15" i="2"/>
  <c r="C15" i="2"/>
  <c r="A15" i="2"/>
  <c r="K14" i="2"/>
  <c r="C14" i="2"/>
  <c r="A14" i="2"/>
  <c r="K13" i="2"/>
  <c r="C13" i="2"/>
  <c r="A13" i="2"/>
  <c r="K12" i="2"/>
  <c r="C12" i="2"/>
  <c r="A12" i="2"/>
  <c r="K11" i="2"/>
  <c r="C11" i="2"/>
  <c r="A11" i="2"/>
  <c r="K10" i="2"/>
  <c r="C10" i="2"/>
  <c r="A10" i="2"/>
  <c r="K9" i="2"/>
  <c r="C9" i="2"/>
  <c r="A9" i="2"/>
  <c r="K8" i="2"/>
  <c r="C8" i="2"/>
  <c r="A8" i="2"/>
  <c r="K7" i="2"/>
  <c r="C7" i="2"/>
  <c r="A7" i="2"/>
  <c r="K6" i="2"/>
  <c r="C6" i="2"/>
  <c r="A6" i="2"/>
  <c r="K5" i="2"/>
  <c r="C5" i="2"/>
  <c r="A5" i="2"/>
  <c r="K4" i="2"/>
  <c r="C4" i="2"/>
  <c r="A4" i="2"/>
  <c r="K3" i="2"/>
  <c r="C3" i="2"/>
  <c r="A3" i="2"/>
  <c r="K2" i="2"/>
  <c r="C2" i="2"/>
  <c r="A2" i="2"/>
  <c r="G3" i="3" s="1"/>
  <c r="D3" i="3" l="1"/>
  <c r="E3" i="3"/>
  <c r="F3" i="3"/>
</calcChain>
</file>

<file path=xl/sharedStrings.xml><?xml version="1.0" encoding="utf-8"?>
<sst xmlns="http://schemas.openxmlformats.org/spreadsheetml/2006/main" count="494" uniqueCount="132">
  <si>
    <t>GUÍA — PLANTILLA DE RECURSOS · PRODUCCIÓN (PR-11 / PR-12)</t>
  </si>
  <si>
    <t>LEYENDA DE COLORES</t>
  </si>
  <si>
    <t>Columna OBLIGATORIA (*) — debe llenarse siempre</t>
  </si>
  <si>
    <t>Columna OPCIONAL — llénala solo si aplica</t>
  </si>
  <si>
    <t>Columna AUTOMÁTICA — no la edites: se calcula sola</t>
  </si>
  <si>
    <t>Fila de EJEMPLO — sobrescríbela o bórrala</t>
  </si>
  <si>
    <t>CÓMO LLENAR (hoja Recursos)</t>
  </si>
  <si>
    <t>• Una fila por recurso desde la fila 2 (las filas 2 y 3 son ejemplos). No dejes filas vacías intermedias.</t>
  </si>
  <si>
    <t>• El CÓDIGO se genera SOLO cuando están completos los 6 obligatorios: Tipo de recurso, Nombre, Unidad de consumo, Costo estándar, Cuenta mayor y Estado. Mientras falte alguno, la celda queda vacía.</t>
  </si>
  <si>
    <t>• El Costo Estándar es por unidad de consumo (S/. por HORA, por DÍA, por UND…). La Cuenta Mayor es solo números (ej. 921101).</t>
  </si>
  <si>
    <t>SERVICIOS DE TERCEROS — un servicio se da de alta UNA sola vez (decisiones O1–O5)</t>
  </si>
  <si>
    <t>• El servicio NACE como ARTÍCULO del grupo SRV, en PLANTILLA_Articulos_SERVICIOS.xlsx. Aquí NO se crea un código nuevo: escribe su SRV-nnnn en «Artículo de servicio» y la columna Código lo copia tal cual.</t>
  </si>
  <si>
    <t>• Esta hoja solo le agrega lo que compras no tiene: costo estándar, cuenta mayor (921201) y proveedor habitual. El artículo SRV sirve para la OC y la factura; el recurso, para costear la orden de fabricación.</t>
  </si>
  <si>
    <t>• Mano de obra propia, máquinas, energía y extras NO tienen artículo: solo recurso, con código REC-nnnn automático, y dejan en blanco «Artículo de servicio» y «Proveedor habitual».</t>
  </si>
  <si>
    <t>SUB-HOJA (Operarios)</t>
  </si>
  <si>
    <t>• Un operario por fila. El «Código de recurso que ocupa» es un desplegable que SOLO muestra los códigos ya generados en la hoja Recursos; el nombre, el tipo, la unidad y el costo aparecen solos.</t>
  </si>
  <si>
    <t>• Un operario puede ocupar CUALQUIER recurso creado, no solo los de tipo RECURSO HUMANO. Los operarios no tienen sede ni metodología de pago.</t>
  </si>
  <si>
    <t>CÓMO CONFIGURAR (hoja Configuraciones)</t>
  </si>
  <si>
    <t>• Todas las listas son TABLAS: escribe debajo de la última fila y crecen solas (hay filas libres reservadas).</t>
  </si>
  <si>
    <t>• Tipos de recurso (bloque 2): código TRC-nnnn y su «clase». RECURSO HUMANO y SERVICIO DE TERCEROS no se renombran ni se borran: el sistema los usa para los operarios y para la compra del servicio.</t>
  </si>
  <si>
    <t>• Proveedores (bloque 7): lista de referencia usada solo por los recursos de tipo SERVICIO DE TERCEROS; el maestro real es la PLANTILLA_Proveedores.</t>
  </si>
  <si>
    <t>Código (auto)</t>
  </si>
  <si>
    <t>Tipo de recurso (*)</t>
  </si>
  <si>
    <t>Clase (auto)</t>
  </si>
  <si>
    <t>Nombre (*)</t>
  </si>
  <si>
    <t>Descripción</t>
  </si>
  <si>
    <t>Unidad de consumo (*)</t>
  </si>
  <si>
    <t>Costo estándar S/. (*)</t>
  </si>
  <si>
    <t>Cuenta mayor (*)</t>
  </si>
  <si>
    <t>Nombre del proveedor (auto)</t>
  </si>
  <si>
    <t>Estado (*)</t>
  </si>
  <si>
    <t>RECURSO HUMANO</t>
  </si>
  <si>
    <t>Operario de corte</t>
  </si>
  <si>
    <t>Mano de obra directa de corte</t>
  </si>
  <si>
    <t>HORA</t>
  </si>
  <si>
    <t>Activo</t>
  </si>
  <si>
    <t>SERVICIO DE TERCEROS</t>
  </si>
  <si>
    <t>UND</t>
  </si>
  <si>
    <t>PROV-0005</t>
  </si>
  <si>
    <t>OPERARIOS — cada operario ocupa un recurso de la hoja Recursos</t>
  </si>
  <si>
    <t>Código de recurso que ocupa (*)</t>
  </si>
  <si>
    <t>Nombre del recurso (auto)</t>
  </si>
  <si>
    <t>Tipo de recurso (auto)</t>
  </si>
  <si>
    <t>Unidad de consumo (auto)</t>
  </si>
  <si>
    <t>Costo estándar S/. (auto)</t>
  </si>
  <si>
    <t>Luis Torres</t>
  </si>
  <si>
    <t>REC-0001</t>
  </si>
  <si>
    <t>CONFIGURACIONES · MAESTRO DE RECURSOS (PRODUCCIÓN)</t>
  </si>
  <si>
    <t>1. MAESTRO (fijo en esta plantilla)</t>
  </si>
  <si>
    <t>MODULO</t>
  </si>
  <si>
    <t>MAESTRO</t>
  </si>
  <si>
    <t>PREFIJO RECURSO</t>
  </si>
  <si>
    <t>PREFIJO OPERARIO</t>
  </si>
  <si>
    <t>TIPO DE SERVICIO</t>
  </si>
  <si>
    <t>Producción</t>
  </si>
  <si>
    <t>RECURSOS</t>
  </si>
  <si>
    <t>REC-</t>
  </si>
  <si>
    <t>OPE-</t>
  </si>
  <si>
    <t>2. TIPOS DE RECURSO · código TRC-nnnn  (agrega filas debajo)</t>
  </si>
  <si>
    <t>CODIGO</t>
  </si>
  <si>
    <t>NOMBRE</t>
  </si>
  <si>
    <t>CLASE</t>
  </si>
  <si>
    <t>TRC-0001</t>
  </si>
  <si>
    <t>humano</t>
  </si>
  <si>
    <t>TRC-0002</t>
  </si>
  <si>
    <t>ACTIVOS FIJOS Y EXTRAS</t>
  </si>
  <si>
    <t>TRC-0003</t>
  </si>
  <si>
    <t>servicio</t>
  </si>
  <si>
    <t>3. UNIDADES DE CONSUMO  (espacio amplio: agrega debajo)</t>
  </si>
  <si>
    <t>UNIDAD</t>
  </si>
  <si>
    <t>DÍA</t>
  </si>
  <si>
    <t>MT</t>
  </si>
  <si>
    <t>KG</t>
  </si>
  <si>
    <t>DOC</t>
  </si>
  <si>
    <t>MILLAR</t>
  </si>
  <si>
    <t>PAR</t>
  </si>
  <si>
    <t>JUEGO</t>
  </si>
  <si>
    <t>CAJA</t>
  </si>
  <si>
    <t>PAQUETE</t>
  </si>
  <si>
    <t>LT</t>
  </si>
  <si>
    <t>4. ESTADO</t>
  </si>
  <si>
    <t>ESTADO</t>
  </si>
  <si>
    <t>Inactivo</t>
  </si>
  <si>
    <t>5. CLASES DE TIPO DE RECURSO (solo referencia)</t>
  </si>
  <si>
    <t>QUÉ SIGNIFICA</t>
  </si>
  <si>
    <t>Admite operarios y método de emisión Manual; se usa en reprocesos.</t>
  </si>
  <si>
    <t>Servicio de terceros: se compra con OC y se contrasta con la factura.</t>
  </si>
  <si>
    <t>(en blanco)</t>
  </si>
  <si>
    <t>Resto de recursos: máquinas, energía, activos fijos y extras.</t>
  </si>
  <si>
    <t>6. CUENTAS MAYORES SUGERIDAS (solo referencia)</t>
  </si>
  <si>
    <t>CUENTA</t>
  </si>
  <si>
    <t>DESCRIPCIÓN</t>
  </si>
  <si>
    <t>Mano de obra directa de producción</t>
  </si>
  <si>
    <t>Servicios prestados por terceros</t>
  </si>
  <si>
    <t>Maquinaria y activos fijos de planta</t>
  </si>
  <si>
    <t>Energía y otros gastos de planta</t>
  </si>
  <si>
    <t>7. PROVEEDORES (referencia · solo para recursos de tipo SERVICIO DE TERCEROS)</t>
  </si>
  <si>
    <t>LAVANDERIA LANDEO</t>
  </si>
  <si>
    <t>PROV-0006</t>
  </si>
  <si>
    <t>LAVANDERIA ECOTEX</t>
  </si>
  <si>
    <t>PROV-0007</t>
  </si>
  <si>
    <t>CESAR CURILLA</t>
  </si>
  <si>
    <t>PROV-0008</t>
  </si>
  <si>
    <t>MISAEL ULIARTE</t>
  </si>
  <si>
    <t>PROV-0009</t>
  </si>
  <si>
    <t>ORTENCIO CASTILLO</t>
  </si>
  <si>
    <t>PROV-0010</t>
  </si>
  <si>
    <t>JUAN BLANQUILLO</t>
  </si>
  <si>
    <t>PROV-0011</t>
  </si>
  <si>
    <t>ALFREDO HUAYTAN</t>
  </si>
  <si>
    <t>PROV-0012</t>
  </si>
  <si>
    <t>CARMEN TAYPE</t>
  </si>
  <si>
    <t>PROV-0013</t>
  </si>
  <si>
    <t>JOSE CHIPANA</t>
  </si>
  <si>
    <t>PROV-0014</t>
  </si>
  <si>
    <t>DANIEL PRADO</t>
  </si>
  <si>
    <t>PROV-0015</t>
  </si>
  <si>
    <t>NESTOR RIVERA</t>
  </si>
  <si>
    <t>PROV-0016</t>
  </si>
  <si>
    <t>POLO OCHOA</t>
  </si>
  <si>
    <t>PROV-0017</t>
  </si>
  <si>
    <t>RENZO VENANCIO</t>
  </si>
  <si>
    <t>PROV-0018</t>
  </si>
  <si>
    <t>WALTER CACHAY</t>
  </si>
  <si>
    <t>PROV-0019</t>
  </si>
  <si>
    <t>MERY INCA</t>
  </si>
  <si>
    <t>PROV-0020</t>
  </si>
  <si>
    <t>KLEPER MONTEZA</t>
  </si>
  <si>
    <t>PROV-0021</t>
  </si>
  <si>
    <t>NIXON PANAIFO GUZMAN</t>
  </si>
  <si>
    <t>Operario de maquina</t>
  </si>
  <si>
    <t>Mano de obra directa de maquina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</si>
</sst>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1"/>
      <name val="Arial"/>
    </font>
    <font>
      <sz val="10"/>
      <name val="Arial"/>
    </font>
    <font>
      <b/>
      <sz val="10"/>
      <color rgb="FFFFFFFF"/>
      <name val="Arial"/>
    </font>
    <font>
      <sz val="10"/>
      <color rgb="FF595959"/>
      <name val="Arial"/>
    </font>
    <font>
      <b/>
      <sz val="11"/>
      <color rgb="FF595959"/>
      <name val="Arial"/>
    </font>
    <font>
      <b/>
      <sz val="12"/>
      <color rgb="FFFFFFFF"/>
      <name val="Arial"/>
    </font>
  </fonts>
  <fills count="9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8EA9C9"/>
      </patternFill>
    </fill>
    <fill>
      <patternFill patternType="solid">
        <fgColor rgb="FF808080"/>
      </patternFill>
    </fill>
    <fill>
      <patternFill patternType="solid">
        <fgColor rgb="FFFFF3B0"/>
      </patternFill>
    </fill>
    <fill>
      <patternFill patternType="solid">
        <fgColor rgb="FFEFEFEF"/>
      </patternFill>
    </fill>
    <fill>
      <patternFill patternType="solid">
        <fgColor rgb="FF3D5A80"/>
      </patternFill>
    </fill>
    <fill>
      <patternFill patternType="solid">
        <fgColor rgb="FFF5F7F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wrapText="1"/>
    </xf>
    <xf numFmtId="0" fontId="0" fillId="2" borderId="1" xfId="0" applyFill="1" applyBorder="1"/>
    <xf numFmtId="0" fontId="3" fillId="0" borderId="0" xfId="0" applyFont="1" applyAlignment="1">
      <alignment wrapText="1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4" fillId="4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2" fontId="3" fillId="5" borderId="1" xfId="0" applyNumberFormat="1" applyFont="1" applyFill="1" applyBorder="1" applyAlignment="1">
      <alignment vertical="center"/>
    </xf>
    <xf numFmtId="1" fontId="3" fillId="5" borderId="1" xfId="0" applyNumberFormat="1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2" fontId="3" fillId="0" borderId="1" xfId="0" applyNumberFormat="1" applyFont="1" applyBorder="1" applyAlignment="1">
      <alignment vertical="center"/>
    </xf>
    <xf numFmtId="1" fontId="3" fillId="0" borderId="1" xfId="0" applyNumberFormat="1" applyFont="1" applyBorder="1" applyAlignment="1">
      <alignment vertical="center"/>
    </xf>
    <xf numFmtId="0" fontId="6" fillId="0" borderId="0" xfId="0" applyFont="1"/>
    <xf numFmtId="2" fontId="5" fillId="6" borderId="1" xfId="0" applyNumberFormat="1" applyFont="1" applyFill="1" applyBorder="1" applyAlignment="1">
      <alignment vertical="center"/>
    </xf>
    <xf numFmtId="0" fontId="4" fillId="2" borderId="1" xfId="0" applyFont="1" applyFill="1" applyBorder="1" applyAlignment="1">
      <alignment horizontal="center"/>
    </xf>
    <xf numFmtId="0" fontId="3" fillId="8" borderId="1" xfId="0" applyFont="1" applyFill="1" applyBorder="1"/>
    <xf numFmtId="0" fontId="1" fillId="2" borderId="0" xfId="0" applyFont="1" applyFill="1" applyAlignment="1">
      <alignment vertical="center"/>
    </xf>
    <xf numFmtId="0" fontId="0" fillId="0" borderId="0" xfId="0"/>
    <xf numFmtId="0" fontId="4" fillId="7" borderId="0" xfId="0" applyFont="1" applyFill="1"/>
    <xf numFmtId="0" fontId="7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MAESTRO" displayName="TMAESTRO" ref="B4:F5">
  <autoFilter ref="B4:F5" xr:uid="{00000000-0009-0000-0100-000001000000}"/>
  <tableColumns count="5">
    <tableColumn id="2" xr3:uid="{00000000-0010-0000-0000-000002000000}" name="MODULO"/>
    <tableColumn id="3" xr3:uid="{00000000-0010-0000-0000-000003000000}" name="MAESTRO"/>
    <tableColumn id="4" xr3:uid="{00000000-0010-0000-0000-000004000000}" name="PREFIJO RECURSO"/>
    <tableColumn id="5" xr3:uid="{00000000-0010-0000-0000-000005000000}" name="PREFIJO OPERARIO"/>
    <tableColumn id="6" xr3:uid="{00000000-0010-0000-0000-000006000000}" name="TIPO DE SERVICIO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TREC" displayName="TTREC" ref="B8:D20">
  <autoFilter ref="B8:D20" xr:uid="{00000000-0009-0000-0100-000002000000}"/>
  <tableColumns count="3">
    <tableColumn id="2" xr3:uid="{00000000-0010-0000-0100-000002000000}" name="CODIGO"/>
    <tableColumn id="3" xr3:uid="{00000000-0010-0000-0100-000003000000}" name="NOMBRE"/>
    <tableColumn id="4" xr3:uid="{00000000-0010-0000-0100-000004000000}" name="CLASE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UM" displayName="TUM" ref="B23:B40">
  <autoFilter ref="B23:B40" xr:uid="{00000000-0009-0000-0100-000003000000}"/>
  <tableColumns count="1">
    <tableColumn id="2" xr3:uid="{00000000-0010-0000-0200-000002000000}" name="UNIDAD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EST" displayName="TEST" ref="B43:B45">
  <autoFilter ref="B43:B45" xr:uid="{00000000-0009-0000-0100-000004000000}"/>
  <tableColumns count="1">
    <tableColumn id="2" xr3:uid="{00000000-0010-0000-0300-000002000000}" name="ESTADO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CLASE" displayName="TCLASE" ref="B49:C52">
  <autoFilter ref="B49:C52" xr:uid="{00000000-0009-0000-0100-000005000000}"/>
  <tableColumns count="2">
    <tableColumn id="2" xr3:uid="{00000000-0010-0000-0400-000002000000}" name="CLASE"/>
    <tableColumn id="3" xr3:uid="{00000000-0010-0000-0400-000003000000}" name="QUÉ SIGNIFICA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CTA" displayName="TCTA" ref="B56:C64">
  <autoFilter ref="B56:C64" xr:uid="{00000000-0009-0000-0100-000006000000}"/>
  <tableColumns count="2">
    <tableColumn id="2" xr3:uid="{00000000-0010-0000-0500-000002000000}" name="CUENTA"/>
    <tableColumn id="3" xr3:uid="{00000000-0010-0000-0500-000003000000}" name="DESCRIPCIÓN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PROV" displayName="TPROV" ref="B68:C98">
  <autoFilter ref="B68:C98" xr:uid="{00000000-0009-0000-0100-000007000000}"/>
  <tableColumns count="2">
    <tableColumn id="2" xr3:uid="{00000000-0010-0000-0600-000002000000}" name="CODIGO"/>
    <tableColumn id="3" xr3:uid="{00000000-0010-0000-0600-000003000000}" name="NOMBR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26"/>
  <sheetViews>
    <sheetView showGridLines="0" workbookViewId="0"/>
  </sheetViews>
  <sheetFormatPr baseColWidth="10" defaultColWidth="9.140625" defaultRowHeight="15" x14ac:dyDescent="0.25"/>
  <cols>
    <col min="1" max="1" width="2" customWidth="1"/>
    <col min="2" max="2" width="8" customWidth="1"/>
    <col min="3" max="3" width="105" customWidth="1"/>
  </cols>
  <sheetData>
    <row r="1" spans="2:3" ht="16.5" customHeight="1" x14ac:dyDescent="0.25">
      <c r="B1" s="21" t="s">
        <v>0</v>
      </c>
      <c r="C1" s="22"/>
    </row>
    <row r="3" spans="2:3" x14ac:dyDescent="0.25">
      <c r="C3" s="1" t="s">
        <v>1</v>
      </c>
    </row>
    <row r="4" spans="2:3" x14ac:dyDescent="0.25">
      <c r="B4" s="2"/>
      <c r="C4" s="3" t="s">
        <v>2</v>
      </c>
    </row>
    <row r="5" spans="2:3" x14ac:dyDescent="0.25">
      <c r="B5" s="4"/>
      <c r="C5" s="3" t="s">
        <v>3</v>
      </c>
    </row>
    <row r="6" spans="2:3" x14ac:dyDescent="0.25">
      <c r="B6" s="5"/>
      <c r="C6" s="3" t="s">
        <v>4</v>
      </c>
    </row>
    <row r="7" spans="2:3" x14ac:dyDescent="0.25">
      <c r="B7" s="6"/>
      <c r="C7" s="3" t="s">
        <v>5</v>
      </c>
    </row>
    <row r="9" spans="2:3" x14ac:dyDescent="0.25">
      <c r="C9" s="1" t="s">
        <v>6</v>
      </c>
    </row>
    <row r="10" spans="2:3" x14ac:dyDescent="0.25">
      <c r="C10" s="3" t="s">
        <v>7</v>
      </c>
    </row>
    <row r="11" spans="2:3" ht="25.5" customHeight="1" x14ac:dyDescent="0.25">
      <c r="C11" s="3" t="s">
        <v>8</v>
      </c>
    </row>
    <row r="12" spans="2:3" ht="26.25" x14ac:dyDescent="0.25">
      <c r="C12" s="3" t="s">
        <v>9</v>
      </c>
    </row>
    <row r="14" spans="2:3" x14ac:dyDescent="0.25">
      <c r="C14" s="1" t="s">
        <v>10</v>
      </c>
    </row>
    <row r="15" spans="2:3" ht="25.5" customHeight="1" x14ac:dyDescent="0.25">
      <c r="C15" s="3" t="s">
        <v>11</v>
      </c>
    </row>
    <row r="16" spans="2:3" ht="25.5" customHeight="1" x14ac:dyDescent="0.25">
      <c r="C16" s="3" t="s">
        <v>12</v>
      </c>
    </row>
    <row r="17" spans="3:3" ht="25.5" customHeight="1" x14ac:dyDescent="0.25">
      <c r="C17" s="3" t="s">
        <v>13</v>
      </c>
    </row>
    <row r="19" spans="3:3" x14ac:dyDescent="0.25">
      <c r="C19" s="1" t="s">
        <v>14</v>
      </c>
    </row>
    <row r="20" spans="3:3" ht="25.5" customHeight="1" x14ac:dyDescent="0.25">
      <c r="C20" s="3" t="s">
        <v>15</v>
      </c>
    </row>
    <row r="21" spans="3:3" ht="26.25" x14ac:dyDescent="0.25">
      <c r="C21" s="3" t="s">
        <v>16</v>
      </c>
    </row>
    <row r="23" spans="3:3" x14ac:dyDescent="0.25">
      <c r="C23" s="1" t="s">
        <v>17</v>
      </c>
    </row>
    <row r="24" spans="3:3" x14ac:dyDescent="0.25">
      <c r="C24" s="3" t="s">
        <v>18</v>
      </c>
    </row>
    <row r="25" spans="3:3" ht="25.5" customHeight="1" x14ac:dyDescent="0.25">
      <c r="C25" s="3" t="s">
        <v>19</v>
      </c>
    </row>
    <row r="26" spans="3:3" ht="26.25" x14ac:dyDescent="0.25">
      <c r="C26" s="3" t="s">
        <v>20</v>
      </c>
    </row>
  </sheetData>
  <mergeCells count="1">
    <mergeCell ref="B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1"/>
  <sheetViews>
    <sheetView showGridLines="0" tabSelected="1" workbookViewId="0">
      <pane ySplit="1" topLeftCell="A2" activePane="bottomLeft" state="frozen"/>
      <selection pane="bottomLeft" activeCell="D21" sqref="D21"/>
    </sheetView>
  </sheetViews>
  <sheetFormatPr baseColWidth="10" defaultColWidth="9.140625" defaultRowHeight="15" x14ac:dyDescent="0.25"/>
  <cols>
    <col min="1" max="1" width="14" customWidth="1"/>
    <col min="2" max="2" width="26" customWidth="1"/>
    <col min="3" max="3" width="13" customWidth="1"/>
    <col min="4" max="4" width="38" customWidth="1"/>
    <col min="5" max="5" width="34" customWidth="1"/>
    <col min="6" max="7" width="17" customWidth="1"/>
    <col min="8" max="8" width="14" customWidth="1"/>
    <col min="9" max="10" width="22" hidden="1" customWidth="1"/>
    <col min="11" max="11" width="30" hidden="1" customWidth="1"/>
    <col min="12" max="12" width="12" customWidth="1"/>
  </cols>
  <sheetData>
    <row r="1" spans="1:12" ht="27.95" customHeight="1" x14ac:dyDescent="0.25">
      <c r="A1" s="7" t="s">
        <v>21</v>
      </c>
      <c r="B1" s="8" t="s">
        <v>22</v>
      </c>
      <c r="C1" s="7" t="s">
        <v>23</v>
      </c>
      <c r="D1" s="8" t="s">
        <v>24</v>
      </c>
      <c r="E1" s="9" t="s">
        <v>25</v>
      </c>
      <c r="F1" s="8" t="s">
        <v>26</v>
      </c>
      <c r="G1" s="8" t="s">
        <v>27</v>
      </c>
      <c r="H1" s="8" t="s">
        <v>28</v>
      </c>
      <c r="I1" s="9"/>
      <c r="J1" s="9"/>
      <c r="K1" s="7" t="s">
        <v>29</v>
      </c>
      <c r="L1" s="8" t="s">
        <v>30</v>
      </c>
    </row>
    <row r="2" spans="1:12" x14ac:dyDescent="0.25">
      <c r="A2" s="10" t="str">
        <f>IF(OR($B2="",$D2="",$F2="",$G2="",$H2="",$L2=""),"",IF($B2=TIPO_SERVICIO,IF($I2="","",$I2),PREFIJO_REC&amp;TEXT(SUMPRODUCT(($B$2:$B2&lt;&gt;TIPO_SERVICIO)*($B$2:$B2&lt;&gt;"")*($D$2:$D2&lt;&gt;"")*($F$2:$F2&lt;&gt;"")*($G$2:$G2&lt;&gt;"")*($H$2:$H2&lt;&gt;"")*($L$2:$L2&lt;&gt;"")),"0000")))</f>
        <v>REC-0001</v>
      </c>
      <c r="B2" s="11" t="s">
        <v>31</v>
      </c>
      <c r="C2" s="10" t="str">
        <f t="shared" ref="C2:C33" ca="1" si="0">IF($B2="","",IFERROR(INDEX(TREC_CLASE,MATCH($B2,TREC_NOMBRE,0)),""))</f>
        <v>humano</v>
      </c>
      <c r="D2" s="11" t="s">
        <v>32</v>
      </c>
      <c r="E2" s="11" t="s">
        <v>33</v>
      </c>
      <c r="F2" s="11" t="s">
        <v>34</v>
      </c>
      <c r="G2" s="12">
        <v>15</v>
      </c>
      <c r="H2" s="13">
        <v>921101</v>
      </c>
      <c r="I2" s="11"/>
      <c r="J2" s="11"/>
      <c r="K2" s="10" t="str">
        <f>IF($J2="","",IFERROR(INDEX(PROV_NOM,MATCH($J2,PROV_COD,0)),""))</f>
        <v/>
      </c>
      <c r="L2" s="11" t="s">
        <v>35</v>
      </c>
    </row>
    <row r="3" spans="1:12" x14ac:dyDescent="0.25">
      <c r="A3" s="10" t="str">
        <f>IF(OR($B3="",$D3="",$F3="",$G3="",$H3="",$L3=""),"",IF($B3=TIPO_SERVICIO,IF($I3="","",$I3),PREFIJO_REC&amp;TEXT(SUMPRODUCT(($B$2:$B3&lt;&gt;TIPO_SERVICIO)*($B$2:$B3&lt;&gt;"")*($D$2:$D3&lt;&gt;"")*($F$2:$F3&lt;&gt;"")*($G$2:$G3&lt;&gt;"")*($H$2:$H3&lt;&gt;"")*($L$2:$L3&lt;&gt;"")),"0000")))</f>
        <v>REC-0002</v>
      </c>
      <c r="B3" s="11" t="s">
        <v>31</v>
      </c>
      <c r="C3" s="10" t="str">
        <f t="shared" ca="1" si="0"/>
        <v>humano</v>
      </c>
      <c r="D3" s="11" t="s">
        <v>130</v>
      </c>
      <c r="E3" s="11" t="s">
        <v>131</v>
      </c>
      <c r="F3" s="11" t="s">
        <v>34</v>
      </c>
      <c r="G3" s="12">
        <v>15</v>
      </c>
      <c r="H3" s="13">
        <v>921201</v>
      </c>
      <c r="I3" s="11"/>
      <c r="J3" s="11"/>
      <c r="K3" s="10" t="str">
        <f>IF($J3="","",IFERROR(INDEX(PROV_NOM,MATCH($J3,PROV_COD,0)),""))</f>
        <v/>
      </c>
      <c r="L3" s="11" t="s">
        <v>35</v>
      </c>
    </row>
    <row r="4" spans="1:12" x14ac:dyDescent="0.25">
      <c r="A4" s="10" t="str">
        <f>IF(OR($B4="",$D4="",$F4="",$G4="",$H4="",$L4=""),"",IF($B4=TIPO_SERVICIO,IF($I4="","",$I4),PREFIJO_REC&amp;TEXT(SUMPRODUCT(($B$2:$B4&lt;&gt;TIPO_SERVICIO)*($B$2:$B4&lt;&gt;"")*($D$2:$D4&lt;&gt;"")*($F$2:$F4&lt;&gt;"")*($G$2:$G4&lt;&gt;"")*($H$2:$H4&lt;&gt;"")*($L$2:$L4&lt;&gt;"")),"0000")))</f>
        <v/>
      </c>
      <c r="B4" s="14"/>
      <c r="C4" s="10" t="str">
        <f t="shared" si="0"/>
        <v/>
      </c>
      <c r="D4" s="14"/>
      <c r="E4" s="14"/>
      <c r="F4" s="14"/>
      <c r="G4" s="15"/>
      <c r="H4" s="16"/>
      <c r="I4" s="14"/>
      <c r="J4" s="14"/>
      <c r="K4" s="10" t="str">
        <f>IF($J4="","",IFERROR(INDEX(PROV_NOM,MATCH($J4,PROV_COD,0)),""))</f>
        <v/>
      </c>
      <c r="L4" s="11" t="s">
        <v>35</v>
      </c>
    </row>
    <row r="5" spans="1:12" x14ac:dyDescent="0.25">
      <c r="A5" s="10" t="str">
        <f>IF(OR($B5="",$D5="",$F5="",$G5="",$H5="",$L5=""),"",IF($B5=TIPO_SERVICIO,IF($I5="","",$I5),PREFIJO_REC&amp;TEXT(SUMPRODUCT(($B$2:$B5&lt;&gt;TIPO_SERVICIO)*($B$2:$B5&lt;&gt;"")*($D$2:$D5&lt;&gt;"")*($F$2:$F5&lt;&gt;"")*($G$2:$G5&lt;&gt;"")*($H$2:$H5&lt;&gt;"")*($L$2:$L5&lt;&gt;"")),"0000")))</f>
        <v/>
      </c>
      <c r="B5" s="14"/>
      <c r="C5" s="10" t="str">
        <f t="shared" si="0"/>
        <v/>
      </c>
      <c r="D5" s="14"/>
      <c r="E5" s="14"/>
      <c r="F5" s="14"/>
      <c r="G5" s="15"/>
      <c r="H5" s="16"/>
      <c r="I5" s="14"/>
      <c r="J5" s="14"/>
      <c r="K5" s="10" t="str">
        <f>IF($J5="","",IFERROR(INDEX(PROV_NOM,MATCH($J5,PROV_COD,0)),""))</f>
        <v/>
      </c>
      <c r="L5" s="11" t="s">
        <v>35</v>
      </c>
    </row>
    <row r="6" spans="1:12" x14ac:dyDescent="0.25">
      <c r="A6" s="10" t="str">
        <f>IF(OR($B6="",$D6="",$F6="",$G6="",$H6="",$L6=""),"",IF($B6=TIPO_SERVICIO,IF($I6="","",$I6),PREFIJO_REC&amp;TEXT(SUMPRODUCT(($B$2:$B6&lt;&gt;TIPO_SERVICIO)*($B$2:$B6&lt;&gt;"")*($D$2:$D6&lt;&gt;"")*($F$2:$F6&lt;&gt;"")*($G$2:$G6&lt;&gt;"")*($H$2:$H6&lt;&gt;"")*($L$2:$L6&lt;&gt;"")),"0000")))</f>
        <v/>
      </c>
      <c r="B6" s="14"/>
      <c r="C6" s="10" t="str">
        <f t="shared" si="0"/>
        <v/>
      </c>
      <c r="D6" s="14"/>
      <c r="E6" s="14"/>
      <c r="F6" s="14"/>
      <c r="G6" s="15"/>
      <c r="H6" s="16"/>
      <c r="I6" s="14"/>
      <c r="J6" s="14"/>
      <c r="K6" s="10" t="str">
        <f>IF($J6="","",IFERROR(INDEX(PROV_NOM,MATCH($J6,PROV_COD,0)),""))</f>
        <v/>
      </c>
      <c r="L6" s="11" t="s">
        <v>35</v>
      </c>
    </row>
    <row r="7" spans="1:12" x14ac:dyDescent="0.25">
      <c r="A7" s="10" t="str">
        <f>IF(OR($B7="",$D7="",$F7="",$G7="",$H7="",$L7=""),"",IF($B7=TIPO_SERVICIO,IF($I7="","",$I7),PREFIJO_REC&amp;TEXT(SUMPRODUCT(($B$2:$B7&lt;&gt;TIPO_SERVICIO)*($B$2:$B7&lt;&gt;"")*($D$2:$D7&lt;&gt;"")*($F$2:$F7&lt;&gt;"")*($G$2:$G7&lt;&gt;"")*($H$2:$H7&lt;&gt;"")*($L$2:$L7&lt;&gt;"")),"0000")))</f>
        <v/>
      </c>
      <c r="B7" s="14"/>
      <c r="C7" s="10" t="str">
        <f t="shared" si="0"/>
        <v/>
      </c>
      <c r="D7" s="14"/>
      <c r="E7" s="14"/>
      <c r="F7" s="14"/>
      <c r="G7" s="15"/>
      <c r="H7" s="16"/>
      <c r="I7" s="14"/>
      <c r="J7" s="14"/>
      <c r="K7" s="10" t="str">
        <f>IF($J7="","",IFERROR(INDEX(PROV_NOM,MATCH($J7,PROV_COD,0)),""))</f>
        <v/>
      </c>
      <c r="L7" s="11" t="s">
        <v>35</v>
      </c>
    </row>
    <row r="8" spans="1:12" x14ac:dyDescent="0.25">
      <c r="A8" s="10" t="str">
        <f>IF(OR($B8="",$D8="",$F8="",$G8="",$H8="",$L8=""),"",IF($B8=TIPO_SERVICIO,IF($I8="","",$I8),PREFIJO_REC&amp;TEXT(SUMPRODUCT(($B$2:$B8&lt;&gt;TIPO_SERVICIO)*($B$2:$B8&lt;&gt;"")*($D$2:$D8&lt;&gt;"")*($F$2:$F8&lt;&gt;"")*($G$2:$G8&lt;&gt;"")*($H$2:$H8&lt;&gt;"")*($L$2:$L8&lt;&gt;"")),"0000")))</f>
        <v/>
      </c>
      <c r="B8" s="14"/>
      <c r="C8" s="10" t="str">
        <f t="shared" si="0"/>
        <v/>
      </c>
      <c r="D8" s="14"/>
      <c r="E8" s="14"/>
      <c r="F8" s="14"/>
      <c r="G8" s="15"/>
      <c r="H8" s="16"/>
      <c r="I8" s="14"/>
      <c r="J8" s="14"/>
      <c r="K8" s="10" t="str">
        <f>IF($J8="","",IFERROR(INDEX(PROV_NOM,MATCH($J8,PROV_COD,0)),""))</f>
        <v/>
      </c>
      <c r="L8" s="11" t="s">
        <v>35</v>
      </c>
    </row>
    <row r="9" spans="1:12" x14ac:dyDescent="0.25">
      <c r="A9" s="10" t="str">
        <f>IF(OR($B9="",$D9="",$F9="",$G9="",$H9="",$L9=""),"",IF($B9=TIPO_SERVICIO,IF($I9="","",$I9),PREFIJO_REC&amp;TEXT(SUMPRODUCT(($B$2:$B9&lt;&gt;TIPO_SERVICIO)*($B$2:$B9&lt;&gt;"")*($D$2:$D9&lt;&gt;"")*($F$2:$F9&lt;&gt;"")*($G$2:$G9&lt;&gt;"")*($H$2:$H9&lt;&gt;"")*($L$2:$L9&lt;&gt;"")),"0000")))</f>
        <v/>
      </c>
      <c r="B9" s="14"/>
      <c r="C9" s="10" t="str">
        <f t="shared" si="0"/>
        <v/>
      </c>
      <c r="D9" s="14"/>
      <c r="E9" s="14"/>
      <c r="F9" s="14"/>
      <c r="G9" s="15"/>
      <c r="H9" s="16"/>
      <c r="I9" s="14"/>
      <c r="J9" s="14"/>
      <c r="K9" s="10" t="str">
        <f>IF($J9="","",IFERROR(INDEX(PROV_NOM,MATCH($J9,PROV_COD,0)),""))</f>
        <v/>
      </c>
      <c r="L9" s="11" t="s">
        <v>35</v>
      </c>
    </row>
    <row r="10" spans="1:12" x14ac:dyDescent="0.25">
      <c r="A10" s="10" t="str">
        <f>IF(OR($B10="",$D10="",$F10="",$G10="",$H10="",$L10=""),"",IF($B10=TIPO_SERVICIO,IF($I10="","",$I10),PREFIJO_REC&amp;TEXT(SUMPRODUCT(($B$2:$B10&lt;&gt;TIPO_SERVICIO)*($B$2:$B10&lt;&gt;"")*($D$2:$D10&lt;&gt;"")*($F$2:$F10&lt;&gt;"")*($G$2:$G10&lt;&gt;"")*($H$2:$H10&lt;&gt;"")*($L$2:$L10&lt;&gt;"")),"0000")))</f>
        <v/>
      </c>
      <c r="B10" s="14"/>
      <c r="C10" s="10" t="str">
        <f t="shared" si="0"/>
        <v/>
      </c>
      <c r="D10" s="14"/>
      <c r="E10" s="14"/>
      <c r="F10" s="14"/>
      <c r="G10" s="15"/>
      <c r="H10" s="16"/>
      <c r="I10" s="14"/>
      <c r="J10" s="14"/>
      <c r="K10" s="10" t="str">
        <f>IF($J10="","",IFERROR(INDEX(PROV_NOM,MATCH($J10,PROV_COD,0)),""))</f>
        <v/>
      </c>
      <c r="L10" s="11" t="s">
        <v>35</v>
      </c>
    </row>
    <row r="11" spans="1:12" x14ac:dyDescent="0.25">
      <c r="A11" s="10" t="str">
        <f>IF(OR($B11="",$D11="",$F11="",$G11="",$H11="",$L11=""),"",IF($B11=TIPO_SERVICIO,IF($I11="","",$I11),PREFIJO_REC&amp;TEXT(SUMPRODUCT(($B$2:$B11&lt;&gt;TIPO_SERVICIO)*($B$2:$B11&lt;&gt;"")*($D$2:$D11&lt;&gt;"")*($F$2:$F11&lt;&gt;"")*($G$2:$G11&lt;&gt;"")*($H$2:$H11&lt;&gt;"")*($L$2:$L11&lt;&gt;"")),"0000")))</f>
        <v/>
      </c>
      <c r="B11" s="14"/>
      <c r="C11" s="10" t="str">
        <f t="shared" si="0"/>
        <v/>
      </c>
      <c r="D11" s="14"/>
      <c r="E11" s="14"/>
      <c r="F11" s="14"/>
      <c r="G11" s="15"/>
      <c r="H11" s="16"/>
      <c r="I11" s="14"/>
      <c r="J11" s="14"/>
      <c r="K11" s="10" t="str">
        <f>IF($J11="","",IFERROR(INDEX(PROV_NOM,MATCH($J11,PROV_COD,0)),""))</f>
        <v/>
      </c>
      <c r="L11" s="11" t="s">
        <v>35</v>
      </c>
    </row>
    <row r="12" spans="1:12" x14ac:dyDescent="0.25">
      <c r="A12" s="10" t="str">
        <f>IF(OR($B12="",$D12="",$F12="",$G12="",$H12="",$L12=""),"",IF($B12=TIPO_SERVICIO,IF($I12="","",$I12),PREFIJO_REC&amp;TEXT(SUMPRODUCT(($B$2:$B12&lt;&gt;TIPO_SERVICIO)*($B$2:$B12&lt;&gt;"")*($D$2:$D12&lt;&gt;"")*($F$2:$F12&lt;&gt;"")*($G$2:$G12&lt;&gt;"")*($H$2:$H12&lt;&gt;"")*($L$2:$L12&lt;&gt;"")),"0000")))</f>
        <v/>
      </c>
      <c r="B12" s="14"/>
      <c r="C12" s="10" t="str">
        <f t="shared" si="0"/>
        <v/>
      </c>
      <c r="D12" s="14"/>
      <c r="E12" s="14"/>
      <c r="F12" s="14"/>
      <c r="G12" s="15"/>
      <c r="H12" s="16"/>
      <c r="I12" s="14"/>
      <c r="J12" s="14"/>
      <c r="K12" s="10" t="str">
        <f>IF($J12="","",IFERROR(INDEX(PROV_NOM,MATCH($J12,PROV_COD,0)),""))</f>
        <v/>
      </c>
      <c r="L12" s="11" t="s">
        <v>35</v>
      </c>
    </row>
    <row r="13" spans="1:12" x14ac:dyDescent="0.25">
      <c r="A13" s="10" t="str">
        <f>IF(OR($B13="",$D13="",$F13="",$G13="",$H13="",$L13=""),"",IF($B13=TIPO_SERVICIO,IF($I13="","",$I13),PREFIJO_REC&amp;TEXT(SUMPRODUCT(($B$2:$B13&lt;&gt;TIPO_SERVICIO)*($B$2:$B13&lt;&gt;"")*($D$2:$D13&lt;&gt;"")*($F$2:$F13&lt;&gt;"")*($G$2:$G13&lt;&gt;"")*($H$2:$H13&lt;&gt;"")*($L$2:$L13&lt;&gt;"")),"0000")))</f>
        <v/>
      </c>
      <c r="B13" s="14"/>
      <c r="C13" s="10" t="str">
        <f t="shared" si="0"/>
        <v/>
      </c>
      <c r="D13" s="14"/>
      <c r="E13" s="14"/>
      <c r="F13" s="14"/>
      <c r="G13" s="15"/>
      <c r="H13" s="16"/>
      <c r="I13" s="14"/>
      <c r="J13" s="14"/>
      <c r="K13" s="10" t="str">
        <f>IF($J13="","",IFERROR(INDEX(PROV_NOM,MATCH($J13,PROV_COD,0)),""))</f>
        <v/>
      </c>
      <c r="L13" s="11" t="s">
        <v>35</v>
      </c>
    </row>
    <row r="14" spans="1:12" x14ac:dyDescent="0.25">
      <c r="A14" s="10" t="str">
        <f>IF(OR($B14="",$D14="",$F14="",$G14="",$H14="",$L14=""),"",IF($B14=TIPO_SERVICIO,IF($I14="","",$I14),PREFIJO_REC&amp;TEXT(SUMPRODUCT(($B$2:$B14&lt;&gt;TIPO_SERVICIO)*($B$2:$B14&lt;&gt;"")*($D$2:$D14&lt;&gt;"")*($F$2:$F14&lt;&gt;"")*($G$2:$G14&lt;&gt;"")*($H$2:$H14&lt;&gt;"")*($L$2:$L14&lt;&gt;"")),"0000")))</f>
        <v/>
      </c>
      <c r="B14" s="14"/>
      <c r="C14" s="10" t="str">
        <f t="shared" si="0"/>
        <v/>
      </c>
      <c r="D14" s="14"/>
      <c r="E14" s="14"/>
      <c r="F14" s="14"/>
      <c r="G14" s="15"/>
      <c r="H14" s="16"/>
      <c r="I14" s="14"/>
      <c r="J14" s="14"/>
      <c r="K14" s="10" t="str">
        <f>IF($J14="","",IFERROR(INDEX(PROV_NOM,MATCH($J14,PROV_COD,0)),""))</f>
        <v/>
      </c>
      <c r="L14" s="11" t="s">
        <v>35</v>
      </c>
    </row>
    <row r="15" spans="1:12" x14ac:dyDescent="0.25">
      <c r="A15" s="10" t="str">
        <f>IF(OR($B15="",$D15="",$F15="",$G15="",$H15="",$L15=""),"",IF($B15=TIPO_SERVICIO,IF($I15="","",$I15),PREFIJO_REC&amp;TEXT(SUMPRODUCT(($B$2:$B15&lt;&gt;TIPO_SERVICIO)*($B$2:$B15&lt;&gt;"")*($D$2:$D15&lt;&gt;"")*($F$2:$F15&lt;&gt;"")*($G$2:$G15&lt;&gt;"")*($H$2:$H15&lt;&gt;"")*($L$2:$L15&lt;&gt;"")),"0000")))</f>
        <v/>
      </c>
      <c r="B15" s="14"/>
      <c r="C15" s="10" t="str">
        <f t="shared" si="0"/>
        <v/>
      </c>
      <c r="D15" s="14"/>
      <c r="E15" s="14"/>
      <c r="F15" s="14"/>
      <c r="G15" s="15"/>
      <c r="H15" s="16"/>
      <c r="I15" s="14"/>
      <c r="J15" s="14"/>
      <c r="K15" s="10" t="str">
        <f>IF($J15="","",IFERROR(INDEX(PROV_NOM,MATCH($J15,PROV_COD,0)),""))</f>
        <v/>
      </c>
      <c r="L15" s="11" t="s">
        <v>35</v>
      </c>
    </row>
    <row r="16" spans="1:12" x14ac:dyDescent="0.25">
      <c r="A16" s="10" t="str">
        <f>IF(OR($B16="",$D16="",$F16="",$G16="",$H16="",$L16=""),"",IF($B16=TIPO_SERVICIO,IF($I16="","",$I16),PREFIJO_REC&amp;TEXT(SUMPRODUCT(($B$2:$B16&lt;&gt;TIPO_SERVICIO)*($B$2:$B16&lt;&gt;"")*($D$2:$D16&lt;&gt;"")*($F$2:$F16&lt;&gt;"")*($G$2:$G16&lt;&gt;"")*($H$2:$H16&lt;&gt;"")*($L$2:$L16&lt;&gt;"")),"0000")))</f>
        <v/>
      </c>
      <c r="B16" s="14"/>
      <c r="C16" s="10" t="str">
        <f t="shared" si="0"/>
        <v/>
      </c>
      <c r="D16" s="14"/>
      <c r="E16" s="14"/>
      <c r="F16" s="14"/>
      <c r="G16" s="15"/>
      <c r="H16" s="16"/>
      <c r="I16" s="14"/>
      <c r="J16" s="14"/>
      <c r="K16" s="10" t="str">
        <f>IF($J16="","",IFERROR(INDEX(PROV_NOM,MATCH($J16,PROV_COD,0)),""))</f>
        <v/>
      </c>
      <c r="L16" s="11" t="s">
        <v>35</v>
      </c>
    </row>
    <row r="17" spans="1:12" x14ac:dyDescent="0.25">
      <c r="A17" s="10" t="str">
        <f>IF(OR($B17="",$D17="",$F17="",$G17="",$H17="",$L17=""),"",IF($B17=TIPO_SERVICIO,IF($I17="","",$I17),PREFIJO_REC&amp;TEXT(SUMPRODUCT(($B$2:$B17&lt;&gt;TIPO_SERVICIO)*($B$2:$B17&lt;&gt;"")*($D$2:$D17&lt;&gt;"")*($F$2:$F17&lt;&gt;"")*($G$2:$G17&lt;&gt;"")*($H$2:$H17&lt;&gt;"")*($L$2:$L17&lt;&gt;"")),"0000")))</f>
        <v/>
      </c>
      <c r="B17" s="14"/>
      <c r="C17" s="10" t="str">
        <f t="shared" si="0"/>
        <v/>
      </c>
      <c r="D17" s="14"/>
      <c r="E17" s="14"/>
      <c r="F17" s="14"/>
      <c r="G17" s="15"/>
      <c r="H17" s="16"/>
      <c r="I17" s="14"/>
      <c r="J17" s="14"/>
      <c r="K17" s="10" t="str">
        <f>IF($J17="","",IFERROR(INDEX(PROV_NOM,MATCH($J17,PROV_COD,0)),""))</f>
        <v/>
      </c>
      <c r="L17" s="11" t="s">
        <v>35</v>
      </c>
    </row>
    <row r="18" spans="1:12" x14ac:dyDescent="0.25">
      <c r="A18" s="10" t="str">
        <f>IF(OR($B18="",$D18="",$F18="",$G18="",$H18="",$L18=""),"",IF($B18=TIPO_SERVICIO,IF($I18="","",$I18),PREFIJO_REC&amp;TEXT(SUMPRODUCT(($B$2:$B18&lt;&gt;TIPO_SERVICIO)*($B$2:$B18&lt;&gt;"")*($D$2:$D18&lt;&gt;"")*($F$2:$F18&lt;&gt;"")*($G$2:$G18&lt;&gt;"")*($H$2:$H18&lt;&gt;"")*($L$2:$L18&lt;&gt;"")),"0000")))</f>
        <v/>
      </c>
      <c r="B18" s="14"/>
      <c r="C18" s="10" t="str">
        <f t="shared" si="0"/>
        <v/>
      </c>
      <c r="D18" s="14"/>
      <c r="E18" s="14"/>
      <c r="F18" s="14"/>
      <c r="G18" s="15"/>
      <c r="H18" s="16"/>
      <c r="I18" s="14"/>
      <c r="J18" s="14"/>
      <c r="K18" s="10" t="str">
        <f>IF($J18="","",IFERROR(INDEX(PROV_NOM,MATCH($J18,PROV_COD,0)),""))</f>
        <v/>
      </c>
      <c r="L18" s="11" t="s">
        <v>35</v>
      </c>
    </row>
    <row r="19" spans="1:12" x14ac:dyDescent="0.25">
      <c r="A19" s="10" t="str">
        <f>IF(OR($B19="",$D19="",$F19="",$G19="",$H19="",$L19=""),"",IF($B19=TIPO_SERVICIO,IF($I19="","",$I19),PREFIJO_REC&amp;TEXT(SUMPRODUCT(($B$2:$B19&lt;&gt;TIPO_SERVICIO)*($B$2:$B19&lt;&gt;"")*($D$2:$D19&lt;&gt;"")*($F$2:$F19&lt;&gt;"")*($G$2:$G19&lt;&gt;"")*($H$2:$H19&lt;&gt;"")*($L$2:$L19&lt;&gt;"")),"0000")))</f>
        <v/>
      </c>
      <c r="B19" s="14"/>
      <c r="C19" s="10" t="str">
        <f t="shared" si="0"/>
        <v/>
      </c>
      <c r="D19" s="14"/>
      <c r="E19" s="14"/>
      <c r="F19" s="14"/>
      <c r="G19" s="15"/>
      <c r="H19" s="16"/>
      <c r="I19" s="14"/>
      <c r="J19" s="14"/>
      <c r="K19" s="10" t="str">
        <f>IF($J19="","",IFERROR(INDEX(PROV_NOM,MATCH($J19,PROV_COD,0)),""))</f>
        <v/>
      </c>
      <c r="L19" s="11" t="s">
        <v>35</v>
      </c>
    </row>
    <row r="20" spans="1:12" x14ac:dyDescent="0.25">
      <c r="A20" s="10" t="str">
        <f>IF(OR($B20="",$D20="",$F20="",$G20="",$H20="",$L20=""),"",IF($B20=TIPO_SERVICIO,IF($I20="","",$I20),PREFIJO_REC&amp;TEXT(SUMPRODUCT(($B$2:$B20&lt;&gt;TIPO_SERVICIO)*($B$2:$B20&lt;&gt;"")*($D$2:$D20&lt;&gt;"")*($F$2:$F20&lt;&gt;"")*($G$2:$G20&lt;&gt;"")*($H$2:$H20&lt;&gt;"")*($L$2:$L20&lt;&gt;"")),"0000")))</f>
        <v/>
      </c>
      <c r="B20" s="14"/>
      <c r="C20" s="10" t="str">
        <f t="shared" si="0"/>
        <v/>
      </c>
      <c r="D20" s="14"/>
      <c r="E20" s="14"/>
      <c r="F20" s="14"/>
      <c r="G20" s="15"/>
      <c r="H20" s="16"/>
      <c r="I20" s="14"/>
      <c r="J20" s="14"/>
      <c r="K20" s="10" t="str">
        <f>IF($J20="","",IFERROR(INDEX(PROV_NOM,MATCH($J20,PROV_COD,0)),""))</f>
        <v/>
      </c>
      <c r="L20" s="11" t="s">
        <v>35</v>
      </c>
    </row>
    <row r="21" spans="1:12" x14ac:dyDescent="0.25">
      <c r="A21" s="10" t="str">
        <f>IF(OR($B21="",$D21="",$F21="",$G21="",$H21="",$L21=""),"",IF($B21=TIPO_SERVICIO,IF($I21="","",$I21),PREFIJO_REC&amp;TEXT(SUMPRODUCT(($B$2:$B21&lt;&gt;TIPO_SERVICIO)*($B$2:$B21&lt;&gt;"")*($D$2:$D21&lt;&gt;"")*($F$2:$F21&lt;&gt;"")*($G$2:$G21&lt;&gt;"")*($H$2:$H21&lt;&gt;"")*($L$2:$L21&lt;&gt;"")),"0000")))</f>
        <v/>
      </c>
      <c r="B21" s="14"/>
      <c r="C21" s="10" t="str">
        <f t="shared" si="0"/>
        <v/>
      </c>
      <c r="D21" s="14"/>
      <c r="E21" s="14"/>
      <c r="F21" s="14"/>
      <c r="G21" s="15"/>
      <c r="H21" s="16"/>
      <c r="I21" s="14"/>
      <c r="J21" s="14"/>
      <c r="K21" s="10" t="str">
        <f>IF($J21="","",IFERROR(INDEX(PROV_NOM,MATCH($J21,PROV_COD,0)),""))</f>
        <v/>
      </c>
      <c r="L21" s="11" t="s">
        <v>35</v>
      </c>
    </row>
    <row r="22" spans="1:12" x14ac:dyDescent="0.25">
      <c r="A22" s="10" t="str">
        <f>IF(OR($B22="",$D22="",$F22="",$G22="",$H22="",$L22=""),"",IF($B22=TIPO_SERVICIO,IF($I22="","",$I22),PREFIJO_REC&amp;TEXT(SUMPRODUCT(($B$2:$B22&lt;&gt;TIPO_SERVICIO)*($B$2:$B22&lt;&gt;"")*($D$2:$D22&lt;&gt;"")*($F$2:$F22&lt;&gt;"")*($G$2:$G22&lt;&gt;"")*($H$2:$H22&lt;&gt;"")*($L$2:$L22&lt;&gt;"")),"0000")))</f>
        <v/>
      </c>
      <c r="B22" s="14"/>
      <c r="C22" s="10" t="str">
        <f t="shared" si="0"/>
        <v/>
      </c>
      <c r="D22" s="14"/>
      <c r="E22" s="14"/>
      <c r="F22" s="14"/>
      <c r="G22" s="15"/>
      <c r="H22" s="16"/>
      <c r="I22" s="14"/>
      <c r="J22" s="14"/>
      <c r="K22" s="10" t="str">
        <f>IF($J22="","",IFERROR(INDEX(PROV_NOM,MATCH($J22,PROV_COD,0)),""))</f>
        <v/>
      </c>
      <c r="L22" s="11" t="s">
        <v>35</v>
      </c>
    </row>
    <row r="23" spans="1:12" x14ac:dyDescent="0.25">
      <c r="A23" s="10" t="str">
        <f>IF(OR($B23="",$D23="",$F23="",$G23="",$H23="",$L23=""),"",IF($B23=TIPO_SERVICIO,IF($I23="","",$I23),PREFIJO_REC&amp;TEXT(SUMPRODUCT(($B$2:$B23&lt;&gt;TIPO_SERVICIO)*($B$2:$B23&lt;&gt;"")*($D$2:$D23&lt;&gt;"")*($F$2:$F23&lt;&gt;"")*($G$2:$G23&lt;&gt;"")*($H$2:$H23&lt;&gt;"")*($L$2:$L23&lt;&gt;"")),"0000")))</f>
        <v/>
      </c>
      <c r="B23" s="14"/>
      <c r="C23" s="10" t="str">
        <f t="shared" si="0"/>
        <v/>
      </c>
      <c r="D23" s="14"/>
      <c r="E23" s="14"/>
      <c r="F23" s="14"/>
      <c r="G23" s="15"/>
      <c r="H23" s="16"/>
      <c r="I23" s="14"/>
      <c r="J23" s="14"/>
      <c r="K23" s="10" t="str">
        <f>IF($J23="","",IFERROR(INDEX(PROV_NOM,MATCH($J23,PROV_COD,0)),""))</f>
        <v/>
      </c>
      <c r="L23" s="11" t="s">
        <v>35</v>
      </c>
    </row>
    <row r="24" spans="1:12" x14ac:dyDescent="0.25">
      <c r="A24" s="10" t="str">
        <f>IF(OR($B24="",$D24="",$F24="",$G24="",$H24="",$L24=""),"",IF($B24=TIPO_SERVICIO,IF($I24="","",$I24),PREFIJO_REC&amp;TEXT(SUMPRODUCT(($B$2:$B24&lt;&gt;TIPO_SERVICIO)*($B$2:$B24&lt;&gt;"")*($D$2:$D24&lt;&gt;"")*($F$2:$F24&lt;&gt;"")*($G$2:$G24&lt;&gt;"")*($H$2:$H24&lt;&gt;"")*($L$2:$L24&lt;&gt;"")),"0000")))</f>
        <v/>
      </c>
      <c r="B24" s="14"/>
      <c r="C24" s="10" t="str">
        <f t="shared" si="0"/>
        <v/>
      </c>
      <c r="D24" s="14"/>
      <c r="E24" s="14"/>
      <c r="F24" s="14"/>
      <c r="G24" s="15"/>
      <c r="H24" s="16"/>
      <c r="I24" s="14"/>
      <c r="J24" s="14"/>
      <c r="K24" s="10" t="str">
        <f>IF($J24="","",IFERROR(INDEX(PROV_NOM,MATCH($J24,PROV_COD,0)),""))</f>
        <v/>
      </c>
      <c r="L24" s="11" t="s">
        <v>35</v>
      </c>
    </row>
    <row r="25" spans="1:12" x14ac:dyDescent="0.25">
      <c r="A25" s="10" t="str">
        <f>IF(OR($B25="",$D25="",$F25="",$G25="",$H25="",$L25=""),"",IF($B25=TIPO_SERVICIO,IF($I25="","",$I25),PREFIJO_REC&amp;TEXT(SUMPRODUCT(($B$2:$B25&lt;&gt;TIPO_SERVICIO)*($B$2:$B25&lt;&gt;"")*($D$2:$D25&lt;&gt;"")*($F$2:$F25&lt;&gt;"")*($G$2:$G25&lt;&gt;"")*($H$2:$H25&lt;&gt;"")*($L$2:$L25&lt;&gt;"")),"0000")))</f>
        <v/>
      </c>
      <c r="B25" s="14"/>
      <c r="C25" s="10" t="str">
        <f t="shared" si="0"/>
        <v/>
      </c>
      <c r="D25" s="14"/>
      <c r="E25" s="14"/>
      <c r="F25" s="14"/>
      <c r="G25" s="15"/>
      <c r="H25" s="16"/>
      <c r="I25" s="14"/>
      <c r="J25" s="14"/>
      <c r="K25" s="10" t="str">
        <f>IF($J25="","",IFERROR(INDEX(PROV_NOM,MATCH($J25,PROV_COD,0)),""))</f>
        <v/>
      </c>
      <c r="L25" s="11" t="s">
        <v>35</v>
      </c>
    </row>
    <row r="26" spans="1:12" x14ac:dyDescent="0.25">
      <c r="A26" s="10" t="str">
        <f>IF(OR($B26="",$D26="",$F26="",$G26="",$H26="",$L26=""),"",IF($B26=TIPO_SERVICIO,IF($I26="","",$I26),PREFIJO_REC&amp;TEXT(SUMPRODUCT(($B$2:$B26&lt;&gt;TIPO_SERVICIO)*($B$2:$B26&lt;&gt;"")*($D$2:$D26&lt;&gt;"")*($F$2:$F26&lt;&gt;"")*($G$2:$G26&lt;&gt;"")*($H$2:$H26&lt;&gt;"")*($L$2:$L26&lt;&gt;"")),"0000")))</f>
        <v/>
      </c>
      <c r="B26" s="14"/>
      <c r="C26" s="10" t="str">
        <f t="shared" si="0"/>
        <v/>
      </c>
      <c r="D26" s="14"/>
      <c r="E26" s="14"/>
      <c r="F26" s="14"/>
      <c r="G26" s="15"/>
      <c r="H26" s="16"/>
      <c r="I26" s="14"/>
      <c r="J26" s="14"/>
      <c r="K26" s="10" t="str">
        <f>IF($J26="","",IFERROR(INDEX(PROV_NOM,MATCH($J26,PROV_COD,0)),""))</f>
        <v/>
      </c>
      <c r="L26" s="11" t="s">
        <v>35</v>
      </c>
    </row>
    <row r="27" spans="1:12" x14ac:dyDescent="0.25">
      <c r="A27" s="10" t="str">
        <f>IF(OR($B27="",$D27="",$F27="",$G27="",$H27="",$L27=""),"",IF($B27=TIPO_SERVICIO,IF($I27="","",$I27),PREFIJO_REC&amp;TEXT(SUMPRODUCT(($B$2:$B27&lt;&gt;TIPO_SERVICIO)*($B$2:$B27&lt;&gt;"")*($D$2:$D27&lt;&gt;"")*($F$2:$F27&lt;&gt;"")*($G$2:$G27&lt;&gt;"")*($H$2:$H27&lt;&gt;"")*($L$2:$L27&lt;&gt;"")),"0000")))</f>
        <v/>
      </c>
      <c r="B27" s="14"/>
      <c r="C27" s="10" t="str">
        <f t="shared" si="0"/>
        <v/>
      </c>
      <c r="D27" s="14"/>
      <c r="E27" s="14"/>
      <c r="F27" s="14"/>
      <c r="G27" s="15"/>
      <c r="H27" s="16"/>
      <c r="I27" s="14"/>
      <c r="J27" s="14"/>
      <c r="K27" s="10" t="str">
        <f>IF($J27="","",IFERROR(INDEX(PROV_NOM,MATCH($J27,PROV_COD,0)),""))</f>
        <v/>
      </c>
      <c r="L27" s="11" t="s">
        <v>35</v>
      </c>
    </row>
    <row r="28" spans="1:12" x14ac:dyDescent="0.25">
      <c r="A28" s="10" t="str">
        <f>IF(OR($B28="",$D28="",$F28="",$G28="",$H28="",$L28=""),"",IF($B28=TIPO_SERVICIO,IF($I28="","",$I28),PREFIJO_REC&amp;TEXT(SUMPRODUCT(($B$2:$B28&lt;&gt;TIPO_SERVICIO)*($B$2:$B28&lt;&gt;"")*($D$2:$D28&lt;&gt;"")*($F$2:$F28&lt;&gt;"")*($G$2:$G28&lt;&gt;"")*($H$2:$H28&lt;&gt;"")*($L$2:$L28&lt;&gt;"")),"0000")))</f>
        <v/>
      </c>
      <c r="B28" s="14"/>
      <c r="C28" s="10" t="str">
        <f t="shared" si="0"/>
        <v/>
      </c>
      <c r="D28" s="14"/>
      <c r="E28" s="14"/>
      <c r="F28" s="14"/>
      <c r="G28" s="15"/>
      <c r="H28" s="16"/>
      <c r="I28" s="14"/>
      <c r="J28" s="14"/>
      <c r="K28" s="10" t="str">
        <f>IF($J28="","",IFERROR(INDEX(PROV_NOM,MATCH($J28,PROV_COD,0)),""))</f>
        <v/>
      </c>
      <c r="L28" s="11" t="s">
        <v>35</v>
      </c>
    </row>
    <row r="29" spans="1:12" x14ac:dyDescent="0.25">
      <c r="A29" s="10" t="str">
        <f>IF(OR($B29="",$D29="",$F29="",$G29="",$H29="",$L29=""),"",IF($B29=TIPO_SERVICIO,IF($I29="","",$I29),PREFIJO_REC&amp;TEXT(SUMPRODUCT(($B$2:$B29&lt;&gt;TIPO_SERVICIO)*($B$2:$B29&lt;&gt;"")*($D$2:$D29&lt;&gt;"")*($F$2:$F29&lt;&gt;"")*($G$2:$G29&lt;&gt;"")*($H$2:$H29&lt;&gt;"")*($L$2:$L29&lt;&gt;"")),"0000")))</f>
        <v/>
      </c>
      <c r="B29" s="14"/>
      <c r="C29" s="10" t="str">
        <f t="shared" si="0"/>
        <v/>
      </c>
      <c r="D29" s="14"/>
      <c r="E29" s="14"/>
      <c r="F29" s="14"/>
      <c r="G29" s="15"/>
      <c r="H29" s="16"/>
      <c r="I29" s="14"/>
      <c r="J29" s="14"/>
      <c r="K29" s="10" t="str">
        <f>IF($J29="","",IFERROR(INDEX(PROV_NOM,MATCH($J29,PROV_COD,0)),""))</f>
        <v/>
      </c>
      <c r="L29" s="11" t="s">
        <v>35</v>
      </c>
    </row>
    <row r="30" spans="1:12" x14ac:dyDescent="0.25">
      <c r="A30" s="10" t="str">
        <f>IF(OR($B30="",$D30="",$F30="",$G30="",$H30="",$L30=""),"",IF($B30=TIPO_SERVICIO,IF($I30="","",$I30),PREFIJO_REC&amp;TEXT(SUMPRODUCT(($B$2:$B30&lt;&gt;TIPO_SERVICIO)*($B$2:$B30&lt;&gt;"")*($D$2:$D30&lt;&gt;"")*($F$2:$F30&lt;&gt;"")*($G$2:$G30&lt;&gt;"")*($H$2:$H30&lt;&gt;"")*($L$2:$L30&lt;&gt;"")),"0000")))</f>
        <v/>
      </c>
      <c r="B30" s="14"/>
      <c r="C30" s="10" t="str">
        <f t="shared" si="0"/>
        <v/>
      </c>
      <c r="D30" s="14"/>
      <c r="E30" s="14"/>
      <c r="F30" s="14"/>
      <c r="G30" s="15"/>
      <c r="H30" s="16"/>
      <c r="I30" s="14"/>
      <c r="J30" s="14"/>
      <c r="K30" s="10" t="str">
        <f>IF($J30="","",IFERROR(INDEX(PROV_NOM,MATCH($J30,PROV_COD,0)),""))</f>
        <v/>
      </c>
      <c r="L30" s="11" t="s">
        <v>35</v>
      </c>
    </row>
    <row r="31" spans="1:12" x14ac:dyDescent="0.25">
      <c r="A31" s="10" t="str">
        <f>IF(OR($B31="",$D31="",$F31="",$G31="",$H31="",$L31=""),"",IF($B31=TIPO_SERVICIO,IF($I31="","",$I31),PREFIJO_REC&amp;TEXT(SUMPRODUCT(($B$2:$B31&lt;&gt;TIPO_SERVICIO)*($B$2:$B31&lt;&gt;"")*($D$2:$D31&lt;&gt;"")*($F$2:$F31&lt;&gt;"")*($G$2:$G31&lt;&gt;"")*($H$2:$H31&lt;&gt;"")*($L$2:$L31&lt;&gt;"")),"0000")))</f>
        <v/>
      </c>
      <c r="B31" s="14"/>
      <c r="C31" s="10" t="str">
        <f t="shared" si="0"/>
        <v/>
      </c>
      <c r="D31" s="14"/>
      <c r="E31" s="14"/>
      <c r="F31" s="14"/>
      <c r="G31" s="15"/>
      <c r="H31" s="16"/>
      <c r="I31" s="14"/>
      <c r="J31" s="14"/>
      <c r="K31" s="10" t="str">
        <f>IF($J31="","",IFERROR(INDEX(PROV_NOM,MATCH($J31,PROV_COD,0)),""))</f>
        <v/>
      </c>
      <c r="L31" s="11" t="s">
        <v>35</v>
      </c>
    </row>
    <row r="32" spans="1:12" x14ac:dyDescent="0.25">
      <c r="A32" s="10" t="str">
        <f>IF(OR($B32="",$D32="",$F32="",$G32="",$H32="",$L32=""),"",IF($B32=TIPO_SERVICIO,IF($I32="","",$I32),PREFIJO_REC&amp;TEXT(SUMPRODUCT(($B$2:$B32&lt;&gt;TIPO_SERVICIO)*($B$2:$B32&lt;&gt;"")*($D$2:$D32&lt;&gt;"")*($F$2:$F32&lt;&gt;"")*($G$2:$G32&lt;&gt;"")*($H$2:$H32&lt;&gt;"")*($L$2:$L32&lt;&gt;"")),"0000")))</f>
        <v/>
      </c>
      <c r="B32" s="14"/>
      <c r="C32" s="10" t="str">
        <f t="shared" si="0"/>
        <v/>
      </c>
      <c r="D32" s="14"/>
      <c r="E32" s="14"/>
      <c r="F32" s="14"/>
      <c r="G32" s="15"/>
      <c r="H32" s="16"/>
      <c r="I32" s="14"/>
      <c r="J32" s="14"/>
      <c r="K32" s="10" t="str">
        <f>IF($J32="","",IFERROR(INDEX(PROV_NOM,MATCH($J32,PROV_COD,0)),""))</f>
        <v/>
      </c>
      <c r="L32" s="11" t="s">
        <v>35</v>
      </c>
    </row>
    <row r="33" spans="1:12" x14ac:dyDescent="0.25">
      <c r="A33" s="10" t="str">
        <f>IF(OR($B33="",$D33="",$F33="",$G33="",$H33="",$L33=""),"",IF($B33=TIPO_SERVICIO,IF($I33="","",$I33),PREFIJO_REC&amp;TEXT(SUMPRODUCT(($B$2:$B33&lt;&gt;TIPO_SERVICIO)*($B$2:$B33&lt;&gt;"")*($D$2:$D33&lt;&gt;"")*($F$2:$F33&lt;&gt;"")*($G$2:$G33&lt;&gt;"")*($H$2:$H33&lt;&gt;"")*($L$2:$L33&lt;&gt;"")),"0000")))</f>
        <v/>
      </c>
      <c r="B33" s="14"/>
      <c r="C33" s="10" t="str">
        <f t="shared" si="0"/>
        <v/>
      </c>
      <c r="D33" s="14"/>
      <c r="E33" s="14"/>
      <c r="F33" s="14"/>
      <c r="G33" s="15"/>
      <c r="H33" s="16"/>
      <c r="I33" s="14"/>
      <c r="J33" s="14"/>
      <c r="K33" s="10" t="str">
        <f>IF($J33="","",IFERROR(INDEX(PROV_NOM,MATCH($J33,PROV_COD,0)),""))</f>
        <v/>
      </c>
      <c r="L33" s="11" t="s">
        <v>35</v>
      </c>
    </row>
    <row r="34" spans="1:12" x14ac:dyDescent="0.25">
      <c r="A34" s="10" t="str">
        <f>IF(OR($B34="",$D34="",$F34="",$G34="",$H34="",$L34=""),"",IF($B34=TIPO_SERVICIO,IF($I34="","",$I34),PREFIJO_REC&amp;TEXT(SUMPRODUCT(($B$2:$B34&lt;&gt;TIPO_SERVICIO)*($B$2:$B34&lt;&gt;"")*($D$2:$D34&lt;&gt;"")*($F$2:$F34&lt;&gt;"")*($G$2:$G34&lt;&gt;"")*($H$2:$H34&lt;&gt;"")*($L$2:$L34&lt;&gt;"")),"0000")))</f>
        <v/>
      </c>
      <c r="B34" s="14"/>
      <c r="C34" s="10" t="str">
        <f t="shared" ref="C34:C65" si="1">IF($B34="","",IFERROR(INDEX(TREC_CLASE,MATCH($B34,TREC_NOMBRE,0)),""))</f>
        <v/>
      </c>
      <c r="D34" s="14"/>
      <c r="E34" s="14"/>
      <c r="F34" s="14"/>
      <c r="G34" s="15"/>
      <c r="H34" s="16"/>
      <c r="I34" s="14"/>
      <c r="J34" s="14"/>
      <c r="K34" s="10" t="str">
        <f>IF($J34="","",IFERROR(INDEX(PROV_NOM,MATCH($J34,PROV_COD,0)),""))</f>
        <v/>
      </c>
      <c r="L34" s="11" t="s">
        <v>35</v>
      </c>
    </row>
    <row r="35" spans="1:12" x14ac:dyDescent="0.25">
      <c r="A35" s="10" t="str">
        <f>IF(OR($B35="",$D35="",$F35="",$G35="",$H35="",$L35=""),"",IF($B35=TIPO_SERVICIO,IF($I35="","",$I35),PREFIJO_REC&amp;TEXT(SUMPRODUCT(($B$2:$B35&lt;&gt;TIPO_SERVICIO)*($B$2:$B35&lt;&gt;"")*($D$2:$D35&lt;&gt;"")*($F$2:$F35&lt;&gt;"")*($G$2:$G35&lt;&gt;"")*($H$2:$H35&lt;&gt;"")*($L$2:$L35&lt;&gt;"")),"0000")))</f>
        <v/>
      </c>
      <c r="B35" s="14"/>
      <c r="C35" s="10" t="str">
        <f t="shared" si="1"/>
        <v/>
      </c>
      <c r="D35" s="14"/>
      <c r="E35" s="14"/>
      <c r="F35" s="14"/>
      <c r="G35" s="15"/>
      <c r="H35" s="16"/>
      <c r="I35" s="14"/>
      <c r="J35" s="14"/>
      <c r="K35" s="10" t="str">
        <f>IF($J35="","",IFERROR(INDEX(PROV_NOM,MATCH($J35,PROV_COD,0)),""))</f>
        <v/>
      </c>
      <c r="L35" s="11" t="s">
        <v>35</v>
      </c>
    </row>
    <row r="36" spans="1:12" x14ac:dyDescent="0.25">
      <c r="A36" s="10" t="str">
        <f>IF(OR($B36="",$D36="",$F36="",$G36="",$H36="",$L36=""),"",IF($B36=TIPO_SERVICIO,IF($I36="","",$I36),PREFIJO_REC&amp;TEXT(SUMPRODUCT(($B$2:$B36&lt;&gt;TIPO_SERVICIO)*($B$2:$B36&lt;&gt;"")*($D$2:$D36&lt;&gt;"")*($F$2:$F36&lt;&gt;"")*($G$2:$G36&lt;&gt;"")*($H$2:$H36&lt;&gt;"")*($L$2:$L36&lt;&gt;"")),"0000")))</f>
        <v/>
      </c>
      <c r="B36" s="14"/>
      <c r="C36" s="10" t="str">
        <f t="shared" si="1"/>
        <v/>
      </c>
      <c r="D36" s="14"/>
      <c r="E36" s="14"/>
      <c r="F36" s="14"/>
      <c r="G36" s="15"/>
      <c r="H36" s="16"/>
      <c r="I36" s="14"/>
      <c r="J36" s="14"/>
      <c r="K36" s="10" t="str">
        <f>IF($J36="","",IFERROR(INDEX(PROV_NOM,MATCH($J36,PROV_COD,0)),""))</f>
        <v/>
      </c>
      <c r="L36" s="11" t="s">
        <v>35</v>
      </c>
    </row>
    <row r="37" spans="1:12" x14ac:dyDescent="0.25">
      <c r="A37" s="10" t="str">
        <f>IF(OR($B37="",$D37="",$F37="",$G37="",$H37="",$L37=""),"",IF($B37=TIPO_SERVICIO,IF($I37="","",$I37),PREFIJO_REC&amp;TEXT(SUMPRODUCT(($B$2:$B37&lt;&gt;TIPO_SERVICIO)*($B$2:$B37&lt;&gt;"")*($D$2:$D37&lt;&gt;"")*($F$2:$F37&lt;&gt;"")*($G$2:$G37&lt;&gt;"")*($H$2:$H37&lt;&gt;"")*($L$2:$L37&lt;&gt;"")),"0000")))</f>
        <v/>
      </c>
      <c r="B37" s="14"/>
      <c r="C37" s="10" t="str">
        <f t="shared" si="1"/>
        <v/>
      </c>
      <c r="D37" s="14"/>
      <c r="E37" s="14"/>
      <c r="F37" s="14"/>
      <c r="G37" s="15"/>
      <c r="H37" s="16"/>
      <c r="I37" s="14"/>
      <c r="J37" s="14"/>
      <c r="K37" s="10" t="str">
        <f>IF($J37="","",IFERROR(INDEX(PROV_NOM,MATCH($J37,PROV_COD,0)),""))</f>
        <v/>
      </c>
      <c r="L37" s="11" t="s">
        <v>35</v>
      </c>
    </row>
    <row r="38" spans="1:12" x14ac:dyDescent="0.25">
      <c r="A38" s="10" t="str">
        <f>IF(OR($B38="",$D38="",$F38="",$G38="",$H38="",$L38=""),"",IF($B38=TIPO_SERVICIO,IF($I38="","",$I38),PREFIJO_REC&amp;TEXT(SUMPRODUCT(($B$2:$B38&lt;&gt;TIPO_SERVICIO)*($B$2:$B38&lt;&gt;"")*($D$2:$D38&lt;&gt;"")*($F$2:$F38&lt;&gt;"")*($G$2:$G38&lt;&gt;"")*($H$2:$H38&lt;&gt;"")*($L$2:$L38&lt;&gt;"")),"0000")))</f>
        <v/>
      </c>
      <c r="B38" s="14"/>
      <c r="C38" s="10" t="str">
        <f t="shared" si="1"/>
        <v/>
      </c>
      <c r="D38" s="14"/>
      <c r="E38" s="14"/>
      <c r="F38" s="14"/>
      <c r="G38" s="15"/>
      <c r="H38" s="16"/>
      <c r="I38" s="14"/>
      <c r="J38" s="14"/>
      <c r="K38" s="10" t="str">
        <f>IF($J38="","",IFERROR(INDEX(PROV_NOM,MATCH($J38,PROV_COD,0)),""))</f>
        <v/>
      </c>
      <c r="L38" s="11" t="s">
        <v>35</v>
      </c>
    </row>
    <row r="39" spans="1:12" x14ac:dyDescent="0.25">
      <c r="A39" s="10" t="str">
        <f>IF(OR($B39="",$D39="",$F39="",$G39="",$H39="",$L39=""),"",IF($B39=TIPO_SERVICIO,IF($I39="","",$I39),PREFIJO_REC&amp;TEXT(SUMPRODUCT(($B$2:$B39&lt;&gt;TIPO_SERVICIO)*($B$2:$B39&lt;&gt;"")*($D$2:$D39&lt;&gt;"")*($F$2:$F39&lt;&gt;"")*($G$2:$G39&lt;&gt;"")*($H$2:$H39&lt;&gt;"")*($L$2:$L39&lt;&gt;"")),"0000")))</f>
        <v/>
      </c>
      <c r="B39" s="14"/>
      <c r="C39" s="10" t="str">
        <f t="shared" si="1"/>
        <v/>
      </c>
      <c r="D39" s="14"/>
      <c r="E39" s="14"/>
      <c r="F39" s="14"/>
      <c r="G39" s="15"/>
      <c r="H39" s="16"/>
      <c r="I39" s="14"/>
      <c r="J39" s="14"/>
      <c r="K39" s="10" t="str">
        <f>IF($J39="","",IFERROR(INDEX(PROV_NOM,MATCH($J39,PROV_COD,0)),""))</f>
        <v/>
      </c>
      <c r="L39" s="11" t="s">
        <v>35</v>
      </c>
    </row>
    <row r="40" spans="1:12" x14ac:dyDescent="0.25">
      <c r="A40" s="10" t="str">
        <f>IF(OR($B40="",$D40="",$F40="",$G40="",$H40="",$L40=""),"",IF($B40=TIPO_SERVICIO,IF($I40="","",$I40),PREFIJO_REC&amp;TEXT(SUMPRODUCT(($B$2:$B40&lt;&gt;TIPO_SERVICIO)*($B$2:$B40&lt;&gt;"")*($D$2:$D40&lt;&gt;"")*($F$2:$F40&lt;&gt;"")*($G$2:$G40&lt;&gt;"")*($H$2:$H40&lt;&gt;"")*($L$2:$L40&lt;&gt;"")),"0000")))</f>
        <v/>
      </c>
      <c r="B40" s="14"/>
      <c r="C40" s="10" t="str">
        <f t="shared" si="1"/>
        <v/>
      </c>
      <c r="D40" s="14"/>
      <c r="E40" s="14"/>
      <c r="F40" s="14"/>
      <c r="G40" s="15"/>
      <c r="H40" s="16"/>
      <c r="I40" s="14"/>
      <c r="J40" s="14"/>
      <c r="K40" s="10" t="str">
        <f>IF($J40="","",IFERROR(INDEX(PROV_NOM,MATCH($J40,PROV_COD,0)),""))</f>
        <v/>
      </c>
      <c r="L40" s="11" t="s">
        <v>35</v>
      </c>
    </row>
    <row r="41" spans="1:12" x14ac:dyDescent="0.25">
      <c r="A41" s="10" t="str">
        <f>IF(OR($B41="",$D41="",$F41="",$G41="",$H41="",$L41=""),"",IF($B41=TIPO_SERVICIO,IF($I41="","",$I41),PREFIJO_REC&amp;TEXT(SUMPRODUCT(($B$2:$B41&lt;&gt;TIPO_SERVICIO)*($B$2:$B41&lt;&gt;"")*($D$2:$D41&lt;&gt;"")*($F$2:$F41&lt;&gt;"")*($G$2:$G41&lt;&gt;"")*($H$2:$H41&lt;&gt;"")*($L$2:$L41&lt;&gt;"")),"0000")))</f>
        <v/>
      </c>
      <c r="B41" s="14"/>
      <c r="C41" s="10" t="str">
        <f t="shared" si="1"/>
        <v/>
      </c>
      <c r="D41" s="14"/>
      <c r="E41" s="14"/>
      <c r="F41" s="14"/>
      <c r="G41" s="15"/>
      <c r="H41" s="16"/>
      <c r="I41" s="14"/>
      <c r="J41" s="14"/>
      <c r="K41" s="10" t="str">
        <f>IF($J41="","",IFERROR(INDEX(PROV_NOM,MATCH($J41,PROV_COD,0)),""))</f>
        <v/>
      </c>
      <c r="L41" s="11" t="s">
        <v>35</v>
      </c>
    </row>
    <row r="42" spans="1:12" x14ac:dyDescent="0.25">
      <c r="A42" s="10" t="str">
        <f>IF(OR($B42="",$D42="",$F42="",$G42="",$H42="",$L42=""),"",IF($B42=TIPO_SERVICIO,IF($I42="","",$I42),PREFIJO_REC&amp;TEXT(SUMPRODUCT(($B$2:$B42&lt;&gt;TIPO_SERVICIO)*($B$2:$B42&lt;&gt;"")*($D$2:$D42&lt;&gt;"")*($F$2:$F42&lt;&gt;"")*($G$2:$G42&lt;&gt;"")*($H$2:$H42&lt;&gt;"")*($L$2:$L42&lt;&gt;"")),"0000")))</f>
        <v/>
      </c>
      <c r="B42" s="14"/>
      <c r="C42" s="10" t="str">
        <f t="shared" si="1"/>
        <v/>
      </c>
      <c r="D42" s="14"/>
      <c r="E42" s="14"/>
      <c r="F42" s="14"/>
      <c r="G42" s="15"/>
      <c r="H42" s="16"/>
      <c r="I42" s="14"/>
      <c r="J42" s="14"/>
      <c r="K42" s="10" t="str">
        <f>IF($J42="","",IFERROR(INDEX(PROV_NOM,MATCH($J42,PROV_COD,0)),""))</f>
        <v/>
      </c>
      <c r="L42" s="11" t="s">
        <v>35</v>
      </c>
    </row>
    <row r="43" spans="1:12" x14ac:dyDescent="0.25">
      <c r="A43" s="10" t="str">
        <f>IF(OR($B43="",$D43="",$F43="",$G43="",$H43="",$L43=""),"",IF($B43=TIPO_SERVICIO,IF($I43="","",$I43),PREFIJO_REC&amp;TEXT(SUMPRODUCT(($B$2:$B43&lt;&gt;TIPO_SERVICIO)*($B$2:$B43&lt;&gt;"")*($D$2:$D43&lt;&gt;"")*($F$2:$F43&lt;&gt;"")*($G$2:$G43&lt;&gt;"")*($H$2:$H43&lt;&gt;"")*($L$2:$L43&lt;&gt;"")),"0000")))</f>
        <v/>
      </c>
      <c r="B43" s="14"/>
      <c r="C43" s="10" t="str">
        <f t="shared" si="1"/>
        <v/>
      </c>
      <c r="D43" s="14"/>
      <c r="E43" s="14"/>
      <c r="F43" s="14"/>
      <c r="G43" s="15"/>
      <c r="H43" s="16"/>
      <c r="I43" s="14"/>
      <c r="J43" s="14"/>
      <c r="K43" s="10" t="str">
        <f>IF($J43="","",IFERROR(INDEX(PROV_NOM,MATCH($J43,PROV_COD,0)),""))</f>
        <v/>
      </c>
      <c r="L43" s="11" t="s">
        <v>35</v>
      </c>
    </row>
    <row r="44" spans="1:12" x14ac:dyDescent="0.25">
      <c r="A44" s="10" t="str">
        <f>IF(OR($B44="",$D44="",$F44="",$G44="",$H44="",$L44=""),"",IF($B44=TIPO_SERVICIO,IF($I44="","",$I44),PREFIJO_REC&amp;TEXT(SUMPRODUCT(($B$2:$B44&lt;&gt;TIPO_SERVICIO)*($B$2:$B44&lt;&gt;"")*($D$2:$D44&lt;&gt;"")*($F$2:$F44&lt;&gt;"")*($G$2:$G44&lt;&gt;"")*($H$2:$H44&lt;&gt;"")*($L$2:$L44&lt;&gt;"")),"0000")))</f>
        <v/>
      </c>
      <c r="B44" s="14"/>
      <c r="C44" s="10" t="str">
        <f t="shared" si="1"/>
        <v/>
      </c>
      <c r="D44" s="14"/>
      <c r="E44" s="14"/>
      <c r="F44" s="14"/>
      <c r="G44" s="15"/>
      <c r="H44" s="16"/>
      <c r="I44" s="14"/>
      <c r="J44" s="14"/>
      <c r="K44" s="10" t="str">
        <f>IF($J44="","",IFERROR(INDEX(PROV_NOM,MATCH($J44,PROV_COD,0)),""))</f>
        <v/>
      </c>
      <c r="L44" s="11" t="s">
        <v>35</v>
      </c>
    </row>
    <row r="45" spans="1:12" x14ac:dyDescent="0.25">
      <c r="A45" s="10" t="str">
        <f>IF(OR($B45="",$D45="",$F45="",$G45="",$H45="",$L45=""),"",IF($B45=TIPO_SERVICIO,IF($I45="","",$I45),PREFIJO_REC&amp;TEXT(SUMPRODUCT(($B$2:$B45&lt;&gt;TIPO_SERVICIO)*($B$2:$B45&lt;&gt;"")*($D$2:$D45&lt;&gt;"")*($F$2:$F45&lt;&gt;"")*($G$2:$G45&lt;&gt;"")*($H$2:$H45&lt;&gt;"")*($L$2:$L45&lt;&gt;"")),"0000")))</f>
        <v/>
      </c>
      <c r="B45" s="14"/>
      <c r="C45" s="10" t="str">
        <f t="shared" si="1"/>
        <v/>
      </c>
      <c r="D45" s="14"/>
      <c r="E45" s="14"/>
      <c r="F45" s="14"/>
      <c r="G45" s="15"/>
      <c r="H45" s="16"/>
      <c r="I45" s="14"/>
      <c r="J45" s="14"/>
      <c r="K45" s="10" t="str">
        <f>IF($J45="","",IFERROR(INDEX(PROV_NOM,MATCH($J45,PROV_COD,0)),""))</f>
        <v/>
      </c>
      <c r="L45" s="11" t="s">
        <v>35</v>
      </c>
    </row>
    <row r="46" spans="1:12" x14ac:dyDescent="0.25">
      <c r="A46" s="10" t="str">
        <f>IF(OR($B46="",$D46="",$F46="",$G46="",$H46="",$L46=""),"",IF($B46=TIPO_SERVICIO,IF($I46="","",$I46),PREFIJO_REC&amp;TEXT(SUMPRODUCT(($B$2:$B46&lt;&gt;TIPO_SERVICIO)*($B$2:$B46&lt;&gt;"")*($D$2:$D46&lt;&gt;"")*($F$2:$F46&lt;&gt;"")*($G$2:$G46&lt;&gt;"")*($H$2:$H46&lt;&gt;"")*($L$2:$L46&lt;&gt;"")),"0000")))</f>
        <v/>
      </c>
      <c r="B46" s="14"/>
      <c r="C46" s="10" t="str">
        <f t="shared" si="1"/>
        <v/>
      </c>
      <c r="D46" s="14"/>
      <c r="E46" s="14"/>
      <c r="F46" s="14"/>
      <c r="G46" s="15"/>
      <c r="H46" s="16"/>
      <c r="I46" s="14"/>
      <c r="J46" s="14"/>
      <c r="K46" s="10" t="str">
        <f>IF($J46="","",IFERROR(INDEX(PROV_NOM,MATCH($J46,PROV_COD,0)),""))</f>
        <v/>
      </c>
      <c r="L46" s="11" t="s">
        <v>35</v>
      </c>
    </row>
    <row r="47" spans="1:12" x14ac:dyDescent="0.25">
      <c r="A47" s="10" t="str">
        <f>IF(OR($B47="",$D47="",$F47="",$G47="",$H47="",$L47=""),"",IF($B47=TIPO_SERVICIO,IF($I47="","",$I47),PREFIJO_REC&amp;TEXT(SUMPRODUCT(($B$2:$B47&lt;&gt;TIPO_SERVICIO)*($B$2:$B47&lt;&gt;"")*($D$2:$D47&lt;&gt;"")*($F$2:$F47&lt;&gt;"")*($G$2:$G47&lt;&gt;"")*($H$2:$H47&lt;&gt;"")*($L$2:$L47&lt;&gt;"")),"0000")))</f>
        <v/>
      </c>
      <c r="B47" s="14"/>
      <c r="C47" s="10" t="str">
        <f t="shared" si="1"/>
        <v/>
      </c>
      <c r="D47" s="14"/>
      <c r="E47" s="14"/>
      <c r="F47" s="14"/>
      <c r="G47" s="15"/>
      <c r="H47" s="16"/>
      <c r="I47" s="14"/>
      <c r="J47" s="14"/>
      <c r="K47" s="10" t="str">
        <f>IF($J47="","",IFERROR(INDEX(PROV_NOM,MATCH($J47,PROV_COD,0)),""))</f>
        <v/>
      </c>
      <c r="L47" s="11" t="s">
        <v>35</v>
      </c>
    </row>
    <row r="48" spans="1:12" x14ac:dyDescent="0.25">
      <c r="A48" s="10" t="str">
        <f>IF(OR($B48="",$D48="",$F48="",$G48="",$H48="",$L48=""),"",IF($B48=TIPO_SERVICIO,IF($I48="","",$I48),PREFIJO_REC&amp;TEXT(SUMPRODUCT(($B$2:$B48&lt;&gt;TIPO_SERVICIO)*($B$2:$B48&lt;&gt;"")*($D$2:$D48&lt;&gt;"")*($F$2:$F48&lt;&gt;"")*($G$2:$G48&lt;&gt;"")*($H$2:$H48&lt;&gt;"")*($L$2:$L48&lt;&gt;"")),"0000")))</f>
        <v/>
      </c>
      <c r="B48" s="14"/>
      <c r="C48" s="10" t="str">
        <f t="shared" si="1"/>
        <v/>
      </c>
      <c r="D48" s="14"/>
      <c r="E48" s="14"/>
      <c r="F48" s="14"/>
      <c r="G48" s="15"/>
      <c r="H48" s="16"/>
      <c r="I48" s="14"/>
      <c r="J48" s="14"/>
      <c r="K48" s="10" t="str">
        <f>IF($J48="","",IFERROR(INDEX(PROV_NOM,MATCH($J48,PROV_COD,0)),""))</f>
        <v/>
      </c>
      <c r="L48" s="11" t="s">
        <v>35</v>
      </c>
    </row>
    <row r="49" spans="1:12" x14ac:dyDescent="0.25">
      <c r="A49" s="10" t="str">
        <f>IF(OR($B49="",$D49="",$F49="",$G49="",$H49="",$L49=""),"",IF($B49=TIPO_SERVICIO,IF($I49="","",$I49),PREFIJO_REC&amp;TEXT(SUMPRODUCT(($B$2:$B49&lt;&gt;TIPO_SERVICIO)*($B$2:$B49&lt;&gt;"")*($D$2:$D49&lt;&gt;"")*($F$2:$F49&lt;&gt;"")*($G$2:$G49&lt;&gt;"")*($H$2:$H49&lt;&gt;"")*($L$2:$L49&lt;&gt;"")),"0000")))</f>
        <v/>
      </c>
      <c r="B49" s="14"/>
      <c r="C49" s="10" t="str">
        <f t="shared" si="1"/>
        <v/>
      </c>
      <c r="D49" s="14"/>
      <c r="E49" s="14"/>
      <c r="F49" s="14"/>
      <c r="G49" s="15"/>
      <c r="H49" s="16"/>
      <c r="I49" s="14"/>
      <c r="J49" s="14"/>
      <c r="K49" s="10" t="str">
        <f>IF($J49="","",IFERROR(INDEX(PROV_NOM,MATCH($J49,PROV_COD,0)),""))</f>
        <v/>
      </c>
      <c r="L49" s="11" t="s">
        <v>35</v>
      </c>
    </row>
    <row r="50" spans="1:12" x14ac:dyDescent="0.25">
      <c r="A50" s="10" t="str">
        <f>IF(OR($B50="",$D50="",$F50="",$G50="",$H50="",$L50=""),"",IF($B50=TIPO_SERVICIO,IF($I50="","",$I50),PREFIJO_REC&amp;TEXT(SUMPRODUCT(($B$2:$B50&lt;&gt;TIPO_SERVICIO)*($B$2:$B50&lt;&gt;"")*($D$2:$D50&lt;&gt;"")*($F$2:$F50&lt;&gt;"")*($G$2:$G50&lt;&gt;"")*($H$2:$H50&lt;&gt;"")*($L$2:$L50&lt;&gt;"")),"0000")))</f>
        <v/>
      </c>
      <c r="B50" s="14"/>
      <c r="C50" s="10" t="str">
        <f t="shared" si="1"/>
        <v/>
      </c>
      <c r="D50" s="14"/>
      <c r="E50" s="14"/>
      <c r="F50" s="14"/>
      <c r="G50" s="15"/>
      <c r="H50" s="16"/>
      <c r="I50" s="14"/>
      <c r="J50" s="14"/>
      <c r="K50" s="10" t="str">
        <f>IF($J50="","",IFERROR(INDEX(PROV_NOM,MATCH($J50,PROV_COD,0)),""))</f>
        <v/>
      </c>
      <c r="L50" s="11" t="s">
        <v>35</v>
      </c>
    </row>
    <row r="51" spans="1:12" x14ac:dyDescent="0.25">
      <c r="A51" s="10" t="str">
        <f>IF(OR($B51="",$D51="",$F51="",$G51="",$H51="",$L51=""),"",IF($B51=TIPO_SERVICIO,IF($I51="","",$I51),PREFIJO_REC&amp;TEXT(SUMPRODUCT(($B$2:$B51&lt;&gt;TIPO_SERVICIO)*($B$2:$B51&lt;&gt;"")*($D$2:$D51&lt;&gt;"")*($F$2:$F51&lt;&gt;"")*($G$2:$G51&lt;&gt;"")*($H$2:$H51&lt;&gt;"")*($L$2:$L51&lt;&gt;"")),"0000")))</f>
        <v/>
      </c>
      <c r="B51" s="14"/>
      <c r="C51" s="10" t="str">
        <f t="shared" si="1"/>
        <v/>
      </c>
      <c r="D51" s="14"/>
      <c r="E51" s="14"/>
      <c r="F51" s="14"/>
      <c r="G51" s="15"/>
      <c r="H51" s="16"/>
      <c r="I51" s="14"/>
      <c r="J51" s="14"/>
      <c r="K51" s="10" t="str">
        <f>IF($J51="","",IFERROR(INDEX(PROV_NOM,MATCH($J51,PROV_COD,0)),""))</f>
        <v/>
      </c>
      <c r="L51" s="11" t="s">
        <v>35</v>
      </c>
    </row>
    <row r="52" spans="1:12" x14ac:dyDescent="0.25">
      <c r="A52" s="10" t="str">
        <f>IF(OR($B52="",$D52="",$F52="",$G52="",$H52="",$L52=""),"",IF($B52=TIPO_SERVICIO,IF($I52="","",$I52),PREFIJO_REC&amp;TEXT(SUMPRODUCT(($B$2:$B52&lt;&gt;TIPO_SERVICIO)*($B$2:$B52&lt;&gt;"")*($D$2:$D52&lt;&gt;"")*($F$2:$F52&lt;&gt;"")*($G$2:$G52&lt;&gt;"")*($H$2:$H52&lt;&gt;"")*($L$2:$L52&lt;&gt;"")),"0000")))</f>
        <v/>
      </c>
      <c r="B52" s="14"/>
      <c r="C52" s="10" t="str">
        <f t="shared" si="1"/>
        <v/>
      </c>
      <c r="D52" s="14"/>
      <c r="E52" s="14"/>
      <c r="F52" s="14"/>
      <c r="G52" s="15"/>
      <c r="H52" s="16"/>
      <c r="I52" s="14"/>
      <c r="J52" s="14"/>
      <c r="K52" s="10" t="str">
        <f>IF($J52="","",IFERROR(INDEX(PROV_NOM,MATCH($J52,PROV_COD,0)),""))</f>
        <v/>
      </c>
      <c r="L52" s="11" t="s">
        <v>35</v>
      </c>
    </row>
    <row r="53" spans="1:12" x14ac:dyDescent="0.25">
      <c r="A53" s="10" t="str">
        <f>IF(OR($B53="",$D53="",$F53="",$G53="",$H53="",$L53=""),"",IF($B53=TIPO_SERVICIO,IF($I53="","",$I53),PREFIJO_REC&amp;TEXT(SUMPRODUCT(($B$2:$B53&lt;&gt;TIPO_SERVICIO)*($B$2:$B53&lt;&gt;"")*($D$2:$D53&lt;&gt;"")*($F$2:$F53&lt;&gt;"")*($G$2:$G53&lt;&gt;"")*($H$2:$H53&lt;&gt;"")*($L$2:$L53&lt;&gt;"")),"0000")))</f>
        <v/>
      </c>
      <c r="B53" s="14"/>
      <c r="C53" s="10" t="str">
        <f t="shared" si="1"/>
        <v/>
      </c>
      <c r="D53" s="14"/>
      <c r="E53" s="14"/>
      <c r="F53" s="14"/>
      <c r="G53" s="15"/>
      <c r="H53" s="16"/>
      <c r="I53" s="14"/>
      <c r="J53" s="14"/>
      <c r="K53" s="10" t="str">
        <f>IF($J53="","",IFERROR(INDEX(PROV_NOM,MATCH($J53,PROV_COD,0)),""))</f>
        <v/>
      </c>
      <c r="L53" s="11" t="s">
        <v>35</v>
      </c>
    </row>
    <row r="54" spans="1:12" x14ac:dyDescent="0.25">
      <c r="A54" s="10" t="str">
        <f>IF(OR($B54="",$D54="",$F54="",$G54="",$H54="",$L54=""),"",IF($B54=TIPO_SERVICIO,IF($I54="","",$I54),PREFIJO_REC&amp;TEXT(SUMPRODUCT(($B$2:$B54&lt;&gt;TIPO_SERVICIO)*($B$2:$B54&lt;&gt;"")*($D$2:$D54&lt;&gt;"")*($F$2:$F54&lt;&gt;"")*($G$2:$G54&lt;&gt;"")*($H$2:$H54&lt;&gt;"")*($L$2:$L54&lt;&gt;"")),"0000")))</f>
        <v/>
      </c>
      <c r="B54" s="14"/>
      <c r="C54" s="10" t="str">
        <f t="shared" si="1"/>
        <v/>
      </c>
      <c r="D54" s="14"/>
      <c r="E54" s="14"/>
      <c r="F54" s="14"/>
      <c r="G54" s="15"/>
      <c r="H54" s="16"/>
      <c r="I54" s="14"/>
      <c r="J54" s="14"/>
      <c r="K54" s="10" t="str">
        <f>IF($J54="","",IFERROR(INDEX(PROV_NOM,MATCH($J54,PROV_COD,0)),""))</f>
        <v/>
      </c>
      <c r="L54" s="11" t="s">
        <v>35</v>
      </c>
    </row>
    <row r="55" spans="1:12" x14ac:dyDescent="0.25">
      <c r="A55" s="10" t="str">
        <f>IF(OR($B55="",$D55="",$F55="",$G55="",$H55="",$L55=""),"",IF($B55=TIPO_SERVICIO,IF($I55="","",$I55),PREFIJO_REC&amp;TEXT(SUMPRODUCT(($B$2:$B55&lt;&gt;TIPO_SERVICIO)*($B$2:$B55&lt;&gt;"")*($D$2:$D55&lt;&gt;"")*($F$2:$F55&lt;&gt;"")*($G$2:$G55&lt;&gt;"")*($H$2:$H55&lt;&gt;"")*($L$2:$L55&lt;&gt;"")),"0000")))</f>
        <v/>
      </c>
      <c r="B55" s="14"/>
      <c r="C55" s="10" t="str">
        <f t="shared" si="1"/>
        <v/>
      </c>
      <c r="D55" s="14"/>
      <c r="E55" s="14"/>
      <c r="F55" s="14"/>
      <c r="G55" s="15"/>
      <c r="H55" s="16"/>
      <c r="I55" s="14"/>
      <c r="J55" s="14"/>
      <c r="K55" s="10" t="str">
        <f>IF($J55="","",IFERROR(INDEX(PROV_NOM,MATCH($J55,PROV_COD,0)),""))</f>
        <v/>
      </c>
      <c r="L55" s="11" t="s">
        <v>35</v>
      </c>
    </row>
    <row r="56" spans="1:12" x14ac:dyDescent="0.25">
      <c r="A56" s="10" t="str">
        <f>IF(OR($B56="",$D56="",$F56="",$G56="",$H56="",$L56=""),"",IF($B56=TIPO_SERVICIO,IF($I56="","",$I56),PREFIJO_REC&amp;TEXT(SUMPRODUCT(($B$2:$B56&lt;&gt;TIPO_SERVICIO)*($B$2:$B56&lt;&gt;"")*($D$2:$D56&lt;&gt;"")*($F$2:$F56&lt;&gt;"")*($G$2:$G56&lt;&gt;"")*($H$2:$H56&lt;&gt;"")*($L$2:$L56&lt;&gt;"")),"0000")))</f>
        <v/>
      </c>
      <c r="B56" s="14"/>
      <c r="C56" s="10" t="str">
        <f t="shared" si="1"/>
        <v/>
      </c>
      <c r="D56" s="14"/>
      <c r="E56" s="14"/>
      <c r="F56" s="14"/>
      <c r="G56" s="15"/>
      <c r="H56" s="16"/>
      <c r="I56" s="14"/>
      <c r="J56" s="14"/>
      <c r="K56" s="10" t="str">
        <f>IF($J56="","",IFERROR(INDEX(PROV_NOM,MATCH($J56,PROV_COD,0)),""))</f>
        <v/>
      </c>
      <c r="L56" s="11" t="s">
        <v>35</v>
      </c>
    </row>
    <row r="57" spans="1:12" x14ac:dyDescent="0.25">
      <c r="A57" s="10" t="str">
        <f>IF(OR($B57="",$D57="",$F57="",$G57="",$H57="",$L57=""),"",IF($B57=TIPO_SERVICIO,IF($I57="","",$I57),PREFIJO_REC&amp;TEXT(SUMPRODUCT(($B$2:$B57&lt;&gt;TIPO_SERVICIO)*($B$2:$B57&lt;&gt;"")*($D$2:$D57&lt;&gt;"")*($F$2:$F57&lt;&gt;"")*($G$2:$G57&lt;&gt;"")*($H$2:$H57&lt;&gt;"")*($L$2:$L57&lt;&gt;"")),"0000")))</f>
        <v/>
      </c>
      <c r="B57" s="14"/>
      <c r="C57" s="10" t="str">
        <f t="shared" si="1"/>
        <v/>
      </c>
      <c r="D57" s="14"/>
      <c r="E57" s="14"/>
      <c r="F57" s="14"/>
      <c r="G57" s="15"/>
      <c r="H57" s="16"/>
      <c r="I57" s="14"/>
      <c r="J57" s="14"/>
      <c r="K57" s="10" t="str">
        <f>IF($J57="","",IFERROR(INDEX(PROV_NOM,MATCH($J57,PROV_COD,0)),""))</f>
        <v/>
      </c>
      <c r="L57" s="11" t="s">
        <v>35</v>
      </c>
    </row>
    <row r="58" spans="1:12" x14ac:dyDescent="0.25">
      <c r="A58" s="10" t="str">
        <f>IF(OR($B58="",$D58="",$F58="",$G58="",$H58="",$L58=""),"",IF($B58=TIPO_SERVICIO,IF($I58="","",$I58),PREFIJO_REC&amp;TEXT(SUMPRODUCT(($B$2:$B58&lt;&gt;TIPO_SERVICIO)*($B$2:$B58&lt;&gt;"")*($D$2:$D58&lt;&gt;"")*($F$2:$F58&lt;&gt;"")*($G$2:$G58&lt;&gt;"")*($H$2:$H58&lt;&gt;"")*($L$2:$L58&lt;&gt;"")),"0000")))</f>
        <v/>
      </c>
      <c r="B58" s="14"/>
      <c r="C58" s="10" t="str">
        <f t="shared" si="1"/>
        <v/>
      </c>
      <c r="D58" s="14"/>
      <c r="E58" s="14"/>
      <c r="F58" s="14"/>
      <c r="G58" s="15"/>
      <c r="H58" s="16"/>
      <c r="I58" s="14"/>
      <c r="J58" s="14"/>
      <c r="K58" s="10" t="str">
        <f>IF($J58="","",IFERROR(INDEX(PROV_NOM,MATCH($J58,PROV_COD,0)),""))</f>
        <v/>
      </c>
      <c r="L58" s="11" t="s">
        <v>35</v>
      </c>
    </row>
    <row r="59" spans="1:12" x14ac:dyDescent="0.25">
      <c r="A59" s="10" t="str">
        <f>IF(OR($B59="",$D59="",$F59="",$G59="",$H59="",$L59=""),"",IF($B59=TIPO_SERVICIO,IF($I59="","",$I59),PREFIJO_REC&amp;TEXT(SUMPRODUCT(($B$2:$B59&lt;&gt;TIPO_SERVICIO)*($B$2:$B59&lt;&gt;"")*($D$2:$D59&lt;&gt;"")*($F$2:$F59&lt;&gt;"")*($G$2:$G59&lt;&gt;"")*($H$2:$H59&lt;&gt;"")*($L$2:$L59&lt;&gt;"")),"0000")))</f>
        <v/>
      </c>
      <c r="B59" s="14"/>
      <c r="C59" s="10" t="str">
        <f t="shared" si="1"/>
        <v/>
      </c>
      <c r="D59" s="14"/>
      <c r="E59" s="14"/>
      <c r="F59" s="14"/>
      <c r="G59" s="15"/>
      <c r="H59" s="16"/>
      <c r="I59" s="14"/>
      <c r="J59" s="14"/>
      <c r="K59" s="10" t="str">
        <f>IF($J59="","",IFERROR(INDEX(PROV_NOM,MATCH($J59,PROV_COD,0)),""))</f>
        <v/>
      </c>
      <c r="L59" s="11" t="s">
        <v>35</v>
      </c>
    </row>
    <row r="60" spans="1:12" x14ac:dyDescent="0.25">
      <c r="A60" s="10" t="str">
        <f>IF(OR($B60="",$D60="",$F60="",$G60="",$H60="",$L60=""),"",IF($B60=TIPO_SERVICIO,IF($I60="","",$I60),PREFIJO_REC&amp;TEXT(SUMPRODUCT(($B$2:$B60&lt;&gt;TIPO_SERVICIO)*($B$2:$B60&lt;&gt;"")*($D$2:$D60&lt;&gt;"")*($F$2:$F60&lt;&gt;"")*($G$2:$G60&lt;&gt;"")*($H$2:$H60&lt;&gt;"")*($L$2:$L60&lt;&gt;"")),"0000")))</f>
        <v/>
      </c>
      <c r="B60" s="14"/>
      <c r="C60" s="10" t="str">
        <f t="shared" si="1"/>
        <v/>
      </c>
      <c r="D60" s="14"/>
      <c r="E60" s="14"/>
      <c r="F60" s="14"/>
      <c r="G60" s="15"/>
      <c r="H60" s="16"/>
      <c r="I60" s="14"/>
      <c r="J60" s="14"/>
      <c r="K60" s="10" t="str">
        <f>IF($J60="","",IFERROR(INDEX(PROV_NOM,MATCH($J60,PROV_COD,0)),""))</f>
        <v/>
      </c>
      <c r="L60" s="11" t="s">
        <v>35</v>
      </c>
    </row>
    <row r="61" spans="1:12" x14ac:dyDescent="0.25">
      <c r="A61" s="10" t="str">
        <f>IF(OR($B61="",$D61="",$F61="",$G61="",$H61="",$L61=""),"",IF($B61=TIPO_SERVICIO,IF($I61="","",$I61),PREFIJO_REC&amp;TEXT(SUMPRODUCT(($B$2:$B61&lt;&gt;TIPO_SERVICIO)*($B$2:$B61&lt;&gt;"")*($D$2:$D61&lt;&gt;"")*($F$2:$F61&lt;&gt;"")*($G$2:$G61&lt;&gt;"")*($H$2:$H61&lt;&gt;"")*($L$2:$L61&lt;&gt;"")),"0000")))</f>
        <v/>
      </c>
      <c r="B61" s="14"/>
      <c r="C61" s="10" t="str">
        <f t="shared" si="1"/>
        <v/>
      </c>
      <c r="D61" s="14"/>
      <c r="E61" s="14"/>
      <c r="F61" s="14"/>
      <c r="G61" s="15"/>
      <c r="H61" s="16"/>
      <c r="I61" s="14"/>
      <c r="J61" s="14"/>
      <c r="K61" s="10" t="str">
        <f>IF($J61="","",IFERROR(INDEX(PROV_NOM,MATCH($J61,PROV_COD,0)),""))</f>
        <v/>
      </c>
      <c r="L61" s="11" t="s">
        <v>35</v>
      </c>
    </row>
    <row r="62" spans="1:12" x14ac:dyDescent="0.25">
      <c r="A62" s="10" t="str">
        <f>IF(OR($B62="",$D62="",$F62="",$G62="",$H62="",$L62=""),"",IF($B62=TIPO_SERVICIO,IF($I62="","",$I62),PREFIJO_REC&amp;TEXT(SUMPRODUCT(($B$2:$B62&lt;&gt;TIPO_SERVICIO)*($B$2:$B62&lt;&gt;"")*($D$2:$D62&lt;&gt;"")*($F$2:$F62&lt;&gt;"")*($G$2:$G62&lt;&gt;"")*($H$2:$H62&lt;&gt;"")*($L$2:$L62&lt;&gt;"")),"0000")))</f>
        <v/>
      </c>
      <c r="B62" s="14"/>
      <c r="C62" s="10" t="str">
        <f t="shared" si="1"/>
        <v/>
      </c>
      <c r="D62" s="14"/>
      <c r="E62" s="14"/>
      <c r="F62" s="14"/>
      <c r="G62" s="15"/>
      <c r="H62" s="16"/>
      <c r="I62" s="14"/>
      <c r="J62" s="14"/>
      <c r="K62" s="10" t="str">
        <f>IF($J62="","",IFERROR(INDEX(PROV_NOM,MATCH($J62,PROV_COD,0)),""))</f>
        <v/>
      </c>
      <c r="L62" s="11" t="s">
        <v>35</v>
      </c>
    </row>
    <row r="63" spans="1:12" x14ac:dyDescent="0.25">
      <c r="A63" s="10" t="str">
        <f>IF(OR($B63="",$D63="",$F63="",$G63="",$H63="",$L63=""),"",IF($B63=TIPO_SERVICIO,IF($I63="","",$I63),PREFIJO_REC&amp;TEXT(SUMPRODUCT(($B$2:$B63&lt;&gt;TIPO_SERVICIO)*($B$2:$B63&lt;&gt;"")*($D$2:$D63&lt;&gt;"")*($F$2:$F63&lt;&gt;"")*($G$2:$G63&lt;&gt;"")*($H$2:$H63&lt;&gt;"")*($L$2:$L63&lt;&gt;"")),"0000")))</f>
        <v/>
      </c>
      <c r="B63" s="14"/>
      <c r="C63" s="10" t="str">
        <f t="shared" si="1"/>
        <v/>
      </c>
      <c r="D63" s="14"/>
      <c r="E63" s="14"/>
      <c r="F63" s="14"/>
      <c r="G63" s="15"/>
      <c r="H63" s="16"/>
      <c r="I63" s="14"/>
      <c r="J63" s="14"/>
      <c r="K63" s="10" t="str">
        <f>IF($J63="","",IFERROR(INDEX(PROV_NOM,MATCH($J63,PROV_COD,0)),""))</f>
        <v/>
      </c>
      <c r="L63" s="11" t="s">
        <v>35</v>
      </c>
    </row>
    <row r="64" spans="1:12" x14ac:dyDescent="0.25">
      <c r="A64" s="10" t="str">
        <f>IF(OR($B64="",$D64="",$F64="",$G64="",$H64="",$L64=""),"",IF($B64=TIPO_SERVICIO,IF($I64="","",$I64),PREFIJO_REC&amp;TEXT(SUMPRODUCT(($B$2:$B64&lt;&gt;TIPO_SERVICIO)*($B$2:$B64&lt;&gt;"")*($D$2:$D64&lt;&gt;"")*($F$2:$F64&lt;&gt;"")*($G$2:$G64&lt;&gt;"")*($H$2:$H64&lt;&gt;"")*($L$2:$L64&lt;&gt;"")),"0000")))</f>
        <v/>
      </c>
      <c r="B64" s="14"/>
      <c r="C64" s="10" t="str">
        <f t="shared" si="1"/>
        <v/>
      </c>
      <c r="D64" s="14"/>
      <c r="E64" s="14"/>
      <c r="F64" s="14"/>
      <c r="G64" s="15"/>
      <c r="H64" s="16"/>
      <c r="I64" s="14"/>
      <c r="J64" s="14"/>
      <c r="K64" s="10" t="str">
        <f>IF($J64="","",IFERROR(INDEX(PROV_NOM,MATCH($J64,PROV_COD,0)),""))</f>
        <v/>
      </c>
      <c r="L64" s="11" t="s">
        <v>35</v>
      </c>
    </row>
    <row r="65" spans="1:12" x14ac:dyDescent="0.25">
      <c r="A65" s="10" t="str">
        <f>IF(OR($B65="",$D65="",$F65="",$G65="",$H65="",$L65=""),"",IF($B65=TIPO_SERVICIO,IF($I65="","",$I65),PREFIJO_REC&amp;TEXT(SUMPRODUCT(($B$2:$B65&lt;&gt;TIPO_SERVICIO)*($B$2:$B65&lt;&gt;"")*($D$2:$D65&lt;&gt;"")*($F$2:$F65&lt;&gt;"")*($G$2:$G65&lt;&gt;"")*($H$2:$H65&lt;&gt;"")*($L$2:$L65&lt;&gt;"")),"0000")))</f>
        <v/>
      </c>
      <c r="B65" s="14"/>
      <c r="C65" s="10" t="str">
        <f t="shared" si="1"/>
        <v/>
      </c>
      <c r="D65" s="14"/>
      <c r="E65" s="14"/>
      <c r="F65" s="14"/>
      <c r="G65" s="15"/>
      <c r="H65" s="16"/>
      <c r="I65" s="14"/>
      <c r="J65" s="14"/>
      <c r="K65" s="10" t="str">
        <f>IF($J65="","",IFERROR(INDEX(PROV_NOM,MATCH($J65,PROV_COD,0)),""))</f>
        <v/>
      </c>
      <c r="L65" s="11" t="s">
        <v>35</v>
      </c>
    </row>
    <row r="66" spans="1:12" x14ac:dyDescent="0.25">
      <c r="A66" s="10" t="str">
        <f>IF(OR($B66="",$D66="",$F66="",$G66="",$H66="",$L66=""),"",IF($B66=TIPO_SERVICIO,IF($I66="","",$I66),PREFIJO_REC&amp;TEXT(SUMPRODUCT(($B$2:$B66&lt;&gt;TIPO_SERVICIO)*($B$2:$B66&lt;&gt;"")*($D$2:$D66&lt;&gt;"")*($F$2:$F66&lt;&gt;"")*($G$2:$G66&lt;&gt;"")*($H$2:$H66&lt;&gt;"")*($L$2:$L66&lt;&gt;"")),"0000")))</f>
        <v/>
      </c>
      <c r="B66" s="14"/>
      <c r="C66" s="10" t="str">
        <f t="shared" ref="C66:C97" si="2">IF($B66="","",IFERROR(INDEX(TREC_CLASE,MATCH($B66,TREC_NOMBRE,0)),""))</f>
        <v/>
      </c>
      <c r="D66" s="14"/>
      <c r="E66" s="14"/>
      <c r="F66" s="14"/>
      <c r="G66" s="15"/>
      <c r="H66" s="16"/>
      <c r="I66" s="14"/>
      <c r="J66" s="14"/>
      <c r="K66" s="10" t="str">
        <f>IF($J66="","",IFERROR(INDEX(PROV_NOM,MATCH($J66,PROV_COD,0)),""))</f>
        <v/>
      </c>
      <c r="L66" s="11" t="s">
        <v>35</v>
      </c>
    </row>
    <row r="67" spans="1:12" x14ac:dyDescent="0.25">
      <c r="A67" s="10" t="str">
        <f>IF(OR($B67="",$D67="",$F67="",$G67="",$H67="",$L67=""),"",IF($B67=TIPO_SERVICIO,IF($I67="","",$I67),PREFIJO_REC&amp;TEXT(SUMPRODUCT(($B$2:$B67&lt;&gt;TIPO_SERVICIO)*($B$2:$B67&lt;&gt;"")*($D$2:$D67&lt;&gt;"")*($F$2:$F67&lt;&gt;"")*($G$2:$G67&lt;&gt;"")*($H$2:$H67&lt;&gt;"")*($L$2:$L67&lt;&gt;"")),"0000")))</f>
        <v/>
      </c>
      <c r="B67" s="14"/>
      <c r="C67" s="10" t="str">
        <f t="shared" si="2"/>
        <v/>
      </c>
      <c r="D67" s="14"/>
      <c r="E67" s="14"/>
      <c r="F67" s="14"/>
      <c r="G67" s="15"/>
      <c r="H67" s="16"/>
      <c r="I67" s="14"/>
      <c r="J67" s="14"/>
      <c r="K67" s="10" t="str">
        <f>IF($J67="","",IFERROR(INDEX(PROV_NOM,MATCH($J67,PROV_COD,0)),""))</f>
        <v/>
      </c>
      <c r="L67" s="11" t="s">
        <v>35</v>
      </c>
    </row>
    <row r="68" spans="1:12" x14ac:dyDescent="0.25">
      <c r="A68" s="10" t="str">
        <f>IF(OR($B68="",$D68="",$F68="",$G68="",$H68="",$L68=""),"",IF($B68=TIPO_SERVICIO,IF($I68="","",$I68),PREFIJO_REC&amp;TEXT(SUMPRODUCT(($B$2:$B68&lt;&gt;TIPO_SERVICIO)*($B$2:$B68&lt;&gt;"")*($D$2:$D68&lt;&gt;"")*($F$2:$F68&lt;&gt;"")*($G$2:$G68&lt;&gt;"")*($H$2:$H68&lt;&gt;"")*($L$2:$L68&lt;&gt;"")),"0000")))</f>
        <v/>
      </c>
      <c r="B68" s="14"/>
      <c r="C68" s="10" t="str">
        <f t="shared" si="2"/>
        <v/>
      </c>
      <c r="D68" s="14"/>
      <c r="E68" s="14"/>
      <c r="F68" s="14"/>
      <c r="G68" s="15"/>
      <c r="H68" s="16"/>
      <c r="I68" s="14"/>
      <c r="J68" s="14"/>
      <c r="K68" s="10" t="str">
        <f>IF($J68="","",IFERROR(INDEX(PROV_NOM,MATCH($J68,PROV_COD,0)),""))</f>
        <v/>
      </c>
      <c r="L68" s="11" t="s">
        <v>35</v>
      </c>
    </row>
    <row r="69" spans="1:12" x14ac:dyDescent="0.25">
      <c r="A69" s="10" t="str">
        <f>IF(OR($B69="",$D69="",$F69="",$G69="",$H69="",$L69=""),"",IF($B69=TIPO_SERVICIO,IF($I69="","",$I69),PREFIJO_REC&amp;TEXT(SUMPRODUCT(($B$2:$B69&lt;&gt;TIPO_SERVICIO)*($B$2:$B69&lt;&gt;"")*($D$2:$D69&lt;&gt;"")*($F$2:$F69&lt;&gt;"")*($G$2:$G69&lt;&gt;"")*($H$2:$H69&lt;&gt;"")*($L$2:$L69&lt;&gt;"")),"0000")))</f>
        <v/>
      </c>
      <c r="B69" s="14"/>
      <c r="C69" s="10" t="str">
        <f t="shared" si="2"/>
        <v/>
      </c>
      <c r="D69" s="14"/>
      <c r="E69" s="14"/>
      <c r="F69" s="14"/>
      <c r="G69" s="15"/>
      <c r="H69" s="16"/>
      <c r="I69" s="14"/>
      <c r="J69" s="14"/>
      <c r="K69" s="10" t="str">
        <f>IF($J69="","",IFERROR(INDEX(PROV_NOM,MATCH($J69,PROV_COD,0)),""))</f>
        <v/>
      </c>
      <c r="L69" s="11" t="s">
        <v>35</v>
      </c>
    </row>
    <row r="70" spans="1:12" x14ac:dyDescent="0.25">
      <c r="A70" s="10" t="str">
        <f>IF(OR($B70="",$D70="",$F70="",$G70="",$H70="",$L70=""),"",IF($B70=TIPO_SERVICIO,IF($I70="","",$I70),PREFIJO_REC&amp;TEXT(SUMPRODUCT(($B$2:$B70&lt;&gt;TIPO_SERVICIO)*($B$2:$B70&lt;&gt;"")*($D$2:$D70&lt;&gt;"")*($F$2:$F70&lt;&gt;"")*($G$2:$G70&lt;&gt;"")*($H$2:$H70&lt;&gt;"")*($L$2:$L70&lt;&gt;"")),"0000")))</f>
        <v/>
      </c>
      <c r="B70" s="14"/>
      <c r="C70" s="10" t="str">
        <f t="shared" si="2"/>
        <v/>
      </c>
      <c r="D70" s="14"/>
      <c r="E70" s="14"/>
      <c r="F70" s="14"/>
      <c r="G70" s="15"/>
      <c r="H70" s="16"/>
      <c r="I70" s="14"/>
      <c r="J70" s="14"/>
      <c r="K70" s="10" t="str">
        <f>IF($J70="","",IFERROR(INDEX(PROV_NOM,MATCH($J70,PROV_COD,0)),""))</f>
        <v/>
      </c>
      <c r="L70" s="11" t="s">
        <v>35</v>
      </c>
    </row>
    <row r="71" spans="1:12" x14ac:dyDescent="0.25">
      <c r="A71" s="10" t="str">
        <f>IF(OR($B71="",$D71="",$F71="",$G71="",$H71="",$L71=""),"",IF($B71=TIPO_SERVICIO,IF($I71="","",$I71),PREFIJO_REC&amp;TEXT(SUMPRODUCT(($B$2:$B71&lt;&gt;TIPO_SERVICIO)*($B$2:$B71&lt;&gt;"")*($D$2:$D71&lt;&gt;"")*($F$2:$F71&lt;&gt;"")*($G$2:$G71&lt;&gt;"")*($H$2:$H71&lt;&gt;"")*($L$2:$L71&lt;&gt;"")),"0000")))</f>
        <v/>
      </c>
      <c r="B71" s="14"/>
      <c r="C71" s="10" t="str">
        <f t="shared" si="2"/>
        <v/>
      </c>
      <c r="D71" s="14"/>
      <c r="E71" s="14"/>
      <c r="F71" s="14"/>
      <c r="G71" s="15"/>
      <c r="H71" s="16"/>
      <c r="I71" s="14"/>
      <c r="J71" s="14"/>
      <c r="K71" s="10" t="str">
        <f>IF($J71="","",IFERROR(INDEX(PROV_NOM,MATCH($J71,PROV_COD,0)),""))</f>
        <v/>
      </c>
      <c r="L71" s="11" t="s">
        <v>35</v>
      </c>
    </row>
    <row r="72" spans="1:12" x14ac:dyDescent="0.25">
      <c r="A72" s="10" t="str">
        <f>IF(OR($B72="",$D72="",$F72="",$G72="",$H72="",$L72=""),"",IF($B72=TIPO_SERVICIO,IF($I72="","",$I72),PREFIJO_REC&amp;TEXT(SUMPRODUCT(($B$2:$B72&lt;&gt;TIPO_SERVICIO)*($B$2:$B72&lt;&gt;"")*($D$2:$D72&lt;&gt;"")*($F$2:$F72&lt;&gt;"")*($G$2:$G72&lt;&gt;"")*($H$2:$H72&lt;&gt;"")*($L$2:$L72&lt;&gt;"")),"0000")))</f>
        <v/>
      </c>
      <c r="B72" s="14"/>
      <c r="C72" s="10" t="str">
        <f t="shared" si="2"/>
        <v/>
      </c>
      <c r="D72" s="14"/>
      <c r="E72" s="14"/>
      <c r="F72" s="14"/>
      <c r="G72" s="15"/>
      <c r="H72" s="16"/>
      <c r="I72" s="14"/>
      <c r="J72" s="14"/>
      <c r="K72" s="10" t="str">
        <f>IF($J72="","",IFERROR(INDEX(PROV_NOM,MATCH($J72,PROV_COD,0)),""))</f>
        <v/>
      </c>
      <c r="L72" s="11" t="s">
        <v>35</v>
      </c>
    </row>
    <row r="73" spans="1:12" x14ac:dyDescent="0.25">
      <c r="A73" s="10" t="str">
        <f>IF(OR($B73="",$D73="",$F73="",$G73="",$H73="",$L73=""),"",IF($B73=TIPO_SERVICIO,IF($I73="","",$I73),PREFIJO_REC&amp;TEXT(SUMPRODUCT(($B$2:$B73&lt;&gt;TIPO_SERVICIO)*($B$2:$B73&lt;&gt;"")*($D$2:$D73&lt;&gt;"")*($F$2:$F73&lt;&gt;"")*($G$2:$G73&lt;&gt;"")*($H$2:$H73&lt;&gt;"")*($L$2:$L73&lt;&gt;"")),"0000")))</f>
        <v/>
      </c>
      <c r="B73" s="14"/>
      <c r="C73" s="10" t="str">
        <f t="shared" si="2"/>
        <v/>
      </c>
      <c r="D73" s="14"/>
      <c r="E73" s="14"/>
      <c r="F73" s="14"/>
      <c r="G73" s="15"/>
      <c r="H73" s="16"/>
      <c r="I73" s="14"/>
      <c r="J73" s="14"/>
      <c r="K73" s="10" t="str">
        <f>IF($J73="","",IFERROR(INDEX(PROV_NOM,MATCH($J73,PROV_COD,0)),""))</f>
        <v/>
      </c>
      <c r="L73" s="11" t="s">
        <v>35</v>
      </c>
    </row>
    <row r="74" spans="1:12" x14ac:dyDescent="0.25">
      <c r="A74" s="10" t="str">
        <f>IF(OR($B74="",$D74="",$F74="",$G74="",$H74="",$L74=""),"",IF($B74=TIPO_SERVICIO,IF($I74="","",$I74),PREFIJO_REC&amp;TEXT(SUMPRODUCT(($B$2:$B74&lt;&gt;TIPO_SERVICIO)*($B$2:$B74&lt;&gt;"")*($D$2:$D74&lt;&gt;"")*($F$2:$F74&lt;&gt;"")*($G$2:$G74&lt;&gt;"")*($H$2:$H74&lt;&gt;"")*($L$2:$L74&lt;&gt;"")),"0000")))</f>
        <v/>
      </c>
      <c r="B74" s="14"/>
      <c r="C74" s="10" t="str">
        <f t="shared" si="2"/>
        <v/>
      </c>
      <c r="D74" s="14"/>
      <c r="E74" s="14"/>
      <c r="F74" s="14"/>
      <c r="G74" s="15"/>
      <c r="H74" s="16"/>
      <c r="I74" s="14"/>
      <c r="J74" s="14"/>
      <c r="K74" s="10" t="str">
        <f>IF($J74="","",IFERROR(INDEX(PROV_NOM,MATCH($J74,PROV_COD,0)),""))</f>
        <v/>
      </c>
      <c r="L74" s="11" t="s">
        <v>35</v>
      </c>
    </row>
    <row r="75" spans="1:12" x14ac:dyDescent="0.25">
      <c r="A75" s="10" t="str">
        <f>IF(OR($B75="",$D75="",$F75="",$G75="",$H75="",$L75=""),"",IF($B75=TIPO_SERVICIO,IF($I75="","",$I75),PREFIJO_REC&amp;TEXT(SUMPRODUCT(($B$2:$B75&lt;&gt;TIPO_SERVICIO)*($B$2:$B75&lt;&gt;"")*($D$2:$D75&lt;&gt;"")*($F$2:$F75&lt;&gt;"")*($G$2:$G75&lt;&gt;"")*($H$2:$H75&lt;&gt;"")*($L$2:$L75&lt;&gt;"")),"0000")))</f>
        <v/>
      </c>
      <c r="B75" s="14"/>
      <c r="C75" s="10" t="str">
        <f t="shared" si="2"/>
        <v/>
      </c>
      <c r="D75" s="14"/>
      <c r="E75" s="14"/>
      <c r="F75" s="14"/>
      <c r="G75" s="15"/>
      <c r="H75" s="16"/>
      <c r="I75" s="14"/>
      <c r="J75" s="14"/>
      <c r="K75" s="10" t="str">
        <f>IF($J75="","",IFERROR(INDEX(PROV_NOM,MATCH($J75,PROV_COD,0)),""))</f>
        <v/>
      </c>
      <c r="L75" s="11" t="s">
        <v>35</v>
      </c>
    </row>
    <row r="76" spans="1:12" x14ac:dyDescent="0.25">
      <c r="A76" s="10" t="str">
        <f>IF(OR($B76="",$D76="",$F76="",$G76="",$H76="",$L76=""),"",IF($B76=TIPO_SERVICIO,IF($I76="","",$I76),PREFIJO_REC&amp;TEXT(SUMPRODUCT(($B$2:$B76&lt;&gt;TIPO_SERVICIO)*($B$2:$B76&lt;&gt;"")*($D$2:$D76&lt;&gt;"")*($F$2:$F76&lt;&gt;"")*($G$2:$G76&lt;&gt;"")*($H$2:$H76&lt;&gt;"")*($L$2:$L76&lt;&gt;"")),"0000")))</f>
        <v/>
      </c>
      <c r="B76" s="14"/>
      <c r="C76" s="10" t="str">
        <f t="shared" si="2"/>
        <v/>
      </c>
      <c r="D76" s="14"/>
      <c r="E76" s="14"/>
      <c r="F76" s="14"/>
      <c r="G76" s="15"/>
      <c r="H76" s="16"/>
      <c r="I76" s="14"/>
      <c r="J76" s="14"/>
      <c r="K76" s="10" t="str">
        <f>IF($J76="","",IFERROR(INDEX(PROV_NOM,MATCH($J76,PROV_COD,0)),""))</f>
        <v/>
      </c>
      <c r="L76" s="11" t="s">
        <v>35</v>
      </c>
    </row>
    <row r="77" spans="1:12" x14ac:dyDescent="0.25">
      <c r="A77" s="10" t="str">
        <f>IF(OR($B77="",$D77="",$F77="",$G77="",$H77="",$L77=""),"",IF($B77=TIPO_SERVICIO,IF($I77="","",$I77),PREFIJO_REC&amp;TEXT(SUMPRODUCT(($B$2:$B77&lt;&gt;TIPO_SERVICIO)*($B$2:$B77&lt;&gt;"")*($D$2:$D77&lt;&gt;"")*($F$2:$F77&lt;&gt;"")*($G$2:$G77&lt;&gt;"")*($H$2:$H77&lt;&gt;"")*($L$2:$L77&lt;&gt;"")),"0000")))</f>
        <v/>
      </c>
      <c r="B77" s="14"/>
      <c r="C77" s="10" t="str">
        <f t="shared" si="2"/>
        <v/>
      </c>
      <c r="D77" s="14"/>
      <c r="E77" s="14"/>
      <c r="F77" s="14"/>
      <c r="G77" s="15"/>
      <c r="H77" s="16"/>
      <c r="I77" s="14"/>
      <c r="J77" s="14"/>
      <c r="K77" s="10" t="str">
        <f>IF($J77="","",IFERROR(INDEX(PROV_NOM,MATCH($J77,PROV_COD,0)),""))</f>
        <v/>
      </c>
      <c r="L77" s="11" t="s">
        <v>35</v>
      </c>
    </row>
    <row r="78" spans="1:12" x14ac:dyDescent="0.25">
      <c r="A78" s="10" t="str">
        <f>IF(OR($B78="",$D78="",$F78="",$G78="",$H78="",$L78=""),"",IF($B78=TIPO_SERVICIO,IF($I78="","",$I78),PREFIJO_REC&amp;TEXT(SUMPRODUCT(($B$2:$B78&lt;&gt;TIPO_SERVICIO)*($B$2:$B78&lt;&gt;"")*($D$2:$D78&lt;&gt;"")*($F$2:$F78&lt;&gt;"")*($G$2:$G78&lt;&gt;"")*($H$2:$H78&lt;&gt;"")*($L$2:$L78&lt;&gt;"")),"0000")))</f>
        <v/>
      </c>
      <c r="B78" s="14"/>
      <c r="C78" s="10" t="str">
        <f t="shared" si="2"/>
        <v/>
      </c>
      <c r="D78" s="14"/>
      <c r="E78" s="14"/>
      <c r="F78" s="14"/>
      <c r="G78" s="15"/>
      <c r="H78" s="16"/>
      <c r="I78" s="14"/>
      <c r="J78" s="14"/>
      <c r="K78" s="10" t="str">
        <f>IF($J78="","",IFERROR(INDEX(PROV_NOM,MATCH($J78,PROV_COD,0)),""))</f>
        <v/>
      </c>
      <c r="L78" s="11" t="s">
        <v>35</v>
      </c>
    </row>
    <row r="79" spans="1:12" x14ac:dyDescent="0.25">
      <c r="A79" s="10" t="str">
        <f>IF(OR($B79="",$D79="",$F79="",$G79="",$H79="",$L79=""),"",IF($B79=TIPO_SERVICIO,IF($I79="","",$I79),PREFIJO_REC&amp;TEXT(SUMPRODUCT(($B$2:$B79&lt;&gt;TIPO_SERVICIO)*($B$2:$B79&lt;&gt;"")*($D$2:$D79&lt;&gt;"")*($F$2:$F79&lt;&gt;"")*($G$2:$G79&lt;&gt;"")*($H$2:$H79&lt;&gt;"")*($L$2:$L79&lt;&gt;"")),"0000")))</f>
        <v/>
      </c>
      <c r="B79" s="14"/>
      <c r="C79" s="10" t="str">
        <f t="shared" si="2"/>
        <v/>
      </c>
      <c r="D79" s="14"/>
      <c r="E79" s="14"/>
      <c r="F79" s="14"/>
      <c r="G79" s="15"/>
      <c r="H79" s="16"/>
      <c r="I79" s="14"/>
      <c r="J79" s="14"/>
      <c r="K79" s="10" t="str">
        <f>IF($J79="","",IFERROR(INDEX(PROV_NOM,MATCH($J79,PROV_COD,0)),""))</f>
        <v/>
      </c>
      <c r="L79" s="11" t="s">
        <v>35</v>
      </c>
    </row>
    <row r="80" spans="1:12" x14ac:dyDescent="0.25">
      <c r="A80" s="10" t="str">
        <f>IF(OR($B80="",$D80="",$F80="",$G80="",$H80="",$L80=""),"",IF($B80=TIPO_SERVICIO,IF($I80="","",$I80),PREFIJO_REC&amp;TEXT(SUMPRODUCT(($B$2:$B80&lt;&gt;TIPO_SERVICIO)*($B$2:$B80&lt;&gt;"")*($D$2:$D80&lt;&gt;"")*($F$2:$F80&lt;&gt;"")*($G$2:$G80&lt;&gt;"")*($H$2:$H80&lt;&gt;"")*($L$2:$L80&lt;&gt;"")),"0000")))</f>
        <v/>
      </c>
      <c r="B80" s="14"/>
      <c r="C80" s="10" t="str">
        <f t="shared" si="2"/>
        <v/>
      </c>
      <c r="D80" s="14"/>
      <c r="E80" s="14"/>
      <c r="F80" s="14"/>
      <c r="G80" s="15"/>
      <c r="H80" s="16"/>
      <c r="I80" s="14"/>
      <c r="J80" s="14"/>
      <c r="K80" s="10" t="str">
        <f>IF($J80="","",IFERROR(INDEX(PROV_NOM,MATCH($J80,PROV_COD,0)),""))</f>
        <v/>
      </c>
      <c r="L80" s="11" t="s">
        <v>35</v>
      </c>
    </row>
    <row r="81" spans="1:12" x14ac:dyDescent="0.25">
      <c r="A81" s="10" t="str">
        <f>IF(OR($B81="",$D81="",$F81="",$G81="",$H81="",$L81=""),"",IF($B81=TIPO_SERVICIO,IF($I81="","",$I81),PREFIJO_REC&amp;TEXT(SUMPRODUCT(($B$2:$B81&lt;&gt;TIPO_SERVICIO)*($B$2:$B81&lt;&gt;"")*($D$2:$D81&lt;&gt;"")*($F$2:$F81&lt;&gt;"")*($G$2:$G81&lt;&gt;"")*($H$2:$H81&lt;&gt;"")*($L$2:$L81&lt;&gt;"")),"0000")))</f>
        <v/>
      </c>
      <c r="B81" s="14"/>
      <c r="C81" s="10" t="str">
        <f t="shared" si="2"/>
        <v/>
      </c>
      <c r="D81" s="14"/>
      <c r="E81" s="14"/>
      <c r="F81" s="14"/>
      <c r="G81" s="15"/>
      <c r="H81" s="16"/>
      <c r="I81" s="14"/>
      <c r="J81" s="14"/>
      <c r="K81" s="10" t="str">
        <f>IF($J81="","",IFERROR(INDEX(PROV_NOM,MATCH($J81,PROV_COD,0)),""))</f>
        <v/>
      </c>
      <c r="L81" s="11" t="s">
        <v>35</v>
      </c>
    </row>
    <row r="82" spans="1:12" x14ac:dyDescent="0.25">
      <c r="A82" s="10" t="str">
        <f>IF(OR($B82="",$D82="",$F82="",$G82="",$H82="",$L82=""),"",IF($B82=TIPO_SERVICIO,IF($I82="","",$I82),PREFIJO_REC&amp;TEXT(SUMPRODUCT(($B$2:$B82&lt;&gt;TIPO_SERVICIO)*($B$2:$B82&lt;&gt;"")*($D$2:$D82&lt;&gt;"")*($F$2:$F82&lt;&gt;"")*($G$2:$G82&lt;&gt;"")*($H$2:$H82&lt;&gt;"")*($L$2:$L82&lt;&gt;"")),"0000")))</f>
        <v/>
      </c>
      <c r="B82" s="14"/>
      <c r="C82" s="10" t="str">
        <f t="shared" si="2"/>
        <v/>
      </c>
      <c r="D82" s="14"/>
      <c r="E82" s="14"/>
      <c r="F82" s="14"/>
      <c r="G82" s="15"/>
      <c r="H82" s="16"/>
      <c r="I82" s="14"/>
      <c r="J82" s="14"/>
      <c r="K82" s="10" t="str">
        <f>IF($J82="","",IFERROR(INDEX(PROV_NOM,MATCH($J82,PROV_COD,0)),""))</f>
        <v/>
      </c>
      <c r="L82" s="11" t="s">
        <v>35</v>
      </c>
    </row>
    <row r="83" spans="1:12" x14ac:dyDescent="0.25">
      <c r="A83" s="10" t="str">
        <f>IF(OR($B83="",$D83="",$F83="",$G83="",$H83="",$L83=""),"",IF($B83=TIPO_SERVICIO,IF($I83="","",$I83),PREFIJO_REC&amp;TEXT(SUMPRODUCT(($B$2:$B83&lt;&gt;TIPO_SERVICIO)*($B$2:$B83&lt;&gt;"")*($D$2:$D83&lt;&gt;"")*($F$2:$F83&lt;&gt;"")*($G$2:$G83&lt;&gt;"")*($H$2:$H83&lt;&gt;"")*($L$2:$L83&lt;&gt;"")),"0000")))</f>
        <v/>
      </c>
      <c r="B83" s="14"/>
      <c r="C83" s="10" t="str">
        <f t="shared" si="2"/>
        <v/>
      </c>
      <c r="D83" s="14"/>
      <c r="E83" s="14"/>
      <c r="F83" s="14"/>
      <c r="G83" s="15"/>
      <c r="H83" s="16"/>
      <c r="I83" s="14"/>
      <c r="J83" s="14"/>
      <c r="K83" s="10" t="str">
        <f>IF($J83="","",IFERROR(INDEX(PROV_NOM,MATCH($J83,PROV_COD,0)),""))</f>
        <v/>
      </c>
      <c r="L83" s="11" t="s">
        <v>35</v>
      </c>
    </row>
    <row r="84" spans="1:12" x14ac:dyDescent="0.25">
      <c r="A84" s="10" t="str">
        <f>IF(OR($B84="",$D84="",$F84="",$G84="",$H84="",$L84=""),"",IF($B84=TIPO_SERVICIO,IF($I84="","",$I84),PREFIJO_REC&amp;TEXT(SUMPRODUCT(($B$2:$B84&lt;&gt;TIPO_SERVICIO)*($B$2:$B84&lt;&gt;"")*($D$2:$D84&lt;&gt;"")*($F$2:$F84&lt;&gt;"")*($G$2:$G84&lt;&gt;"")*($H$2:$H84&lt;&gt;"")*($L$2:$L84&lt;&gt;"")),"0000")))</f>
        <v/>
      </c>
      <c r="B84" s="14"/>
      <c r="C84" s="10" t="str">
        <f t="shared" si="2"/>
        <v/>
      </c>
      <c r="D84" s="14"/>
      <c r="E84" s="14"/>
      <c r="F84" s="14"/>
      <c r="G84" s="15"/>
      <c r="H84" s="16"/>
      <c r="I84" s="14"/>
      <c r="J84" s="14"/>
      <c r="K84" s="10" t="str">
        <f>IF($J84="","",IFERROR(INDEX(PROV_NOM,MATCH($J84,PROV_COD,0)),""))</f>
        <v/>
      </c>
      <c r="L84" s="11" t="s">
        <v>35</v>
      </c>
    </row>
    <row r="85" spans="1:12" x14ac:dyDescent="0.25">
      <c r="A85" s="10" t="str">
        <f>IF(OR($B85="",$D85="",$F85="",$G85="",$H85="",$L85=""),"",IF($B85=TIPO_SERVICIO,IF($I85="","",$I85),PREFIJO_REC&amp;TEXT(SUMPRODUCT(($B$2:$B85&lt;&gt;TIPO_SERVICIO)*($B$2:$B85&lt;&gt;"")*($D$2:$D85&lt;&gt;"")*($F$2:$F85&lt;&gt;"")*($G$2:$G85&lt;&gt;"")*($H$2:$H85&lt;&gt;"")*($L$2:$L85&lt;&gt;"")),"0000")))</f>
        <v/>
      </c>
      <c r="B85" s="14"/>
      <c r="C85" s="10" t="str">
        <f t="shared" si="2"/>
        <v/>
      </c>
      <c r="D85" s="14"/>
      <c r="E85" s="14"/>
      <c r="F85" s="14"/>
      <c r="G85" s="15"/>
      <c r="H85" s="16"/>
      <c r="I85" s="14"/>
      <c r="J85" s="14"/>
      <c r="K85" s="10" t="str">
        <f>IF($J85="","",IFERROR(INDEX(PROV_NOM,MATCH($J85,PROV_COD,0)),""))</f>
        <v/>
      </c>
      <c r="L85" s="11" t="s">
        <v>35</v>
      </c>
    </row>
    <row r="86" spans="1:12" x14ac:dyDescent="0.25">
      <c r="A86" s="10" t="str">
        <f>IF(OR($B86="",$D86="",$F86="",$G86="",$H86="",$L86=""),"",IF($B86=TIPO_SERVICIO,IF($I86="","",$I86),PREFIJO_REC&amp;TEXT(SUMPRODUCT(($B$2:$B86&lt;&gt;TIPO_SERVICIO)*($B$2:$B86&lt;&gt;"")*($D$2:$D86&lt;&gt;"")*($F$2:$F86&lt;&gt;"")*($G$2:$G86&lt;&gt;"")*($H$2:$H86&lt;&gt;"")*($L$2:$L86&lt;&gt;"")),"0000")))</f>
        <v/>
      </c>
      <c r="B86" s="14"/>
      <c r="C86" s="10" t="str">
        <f t="shared" si="2"/>
        <v/>
      </c>
      <c r="D86" s="14"/>
      <c r="E86" s="14"/>
      <c r="F86" s="14"/>
      <c r="G86" s="15"/>
      <c r="H86" s="16"/>
      <c r="I86" s="14"/>
      <c r="J86" s="14"/>
      <c r="K86" s="10" t="str">
        <f>IF($J86="","",IFERROR(INDEX(PROV_NOM,MATCH($J86,PROV_COD,0)),""))</f>
        <v/>
      </c>
      <c r="L86" s="11" t="s">
        <v>35</v>
      </c>
    </row>
    <row r="87" spans="1:12" x14ac:dyDescent="0.25">
      <c r="A87" s="10" t="str">
        <f>IF(OR($B87="",$D87="",$F87="",$G87="",$H87="",$L87=""),"",IF($B87=TIPO_SERVICIO,IF($I87="","",$I87),PREFIJO_REC&amp;TEXT(SUMPRODUCT(($B$2:$B87&lt;&gt;TIPO_SERVICIO)*($B$2:$B87&lt;&gt;"")*($D$2:$D87&lt;&gt;"")*($F$2:$F87&lt;&gt;"")*($G$2:$G87&lt;&gt;"")*($H$2:$H87&lt;&gt;"")*($L$2:$L87&lt;&gt;"")),"0000")))</f>
        <v/>
      </c>
      <c r="B87" s="14"/>
      <c r="C87" s="10" t="str">
        <f t="shared" si="2"/>
        <v/>
      </c>
      <c r="D87" s="14"/>
      <c r="E87" s="14"/>
      <c r="F87" s="14"/>
      <c r="G87" s="15"/>
      <c r="H87" s="16"/>
      <c r="I87" s="14"/>
      <c r="J87" s="14"/>
      <c r="K87" s="10" t="str">
        <f>IF($J87="","",IFERROR(INDEX(PROV_NOM,MATCH($J87,PROV_COD,0)),""))</f>
        <v/>
      </c>
      <c r="L87" s="11" t="s">
        <v>35</v>
      </c>
    </row>
    <row r="88" spans="1:12" x14ac:dyDescent="0.25">
      <c r="A88" s="10" t="str">
        <f>IF(OR($B88="",$D88="",$F88="",$G88="",$H88="",$L88=""),"",IF($B88=TIPO_SERVICIO,IF($I88="","",$I88),PREFIJO_REC&amp;TEXT(SUMPRODUCT(($B$2:$B88&lt;&gt;TIPO_SERVICIO)*($B$2:$B88&lt;&gt;"")*($D$2:$D88&lt;&gt;"")*($F$2:$F88&lt;&gt;"")*($G$2:$G88&lt;&gt;"")*($H$2:$H88&lt;&gt;"")*($L$2:$L88&lt;&gt;"")),"0000")))</f>
        <v/>
      </c>
      <c r="B88" s="14"/>
      <c r="C88" s="10" t="str">
        <f t="shared" si="2"/>
        <v/>
      </c>
      <c r="D88" s="14"/>
      <c r="E88" s="14"/>
      <c r="F88" s="14"/>
      <c r="G88" s="15"/>
      <c r="H88" s="16"/>
      <c r="I88" s="14"/>
      <c r="J88" s="14"/>
      <c r="K88" s="10" t="str">
        <f>IF($J88="","",IFERROR(INDEX(PROV_NOM,MATCH($J88,PROV_COD,0)),""))</f>
        <v/>
      </c>
      <c r="L88" s="11" t="s">
        <v>35</v>
      </c>
    </row>
    <row r="89" spans="1:12" x14ac:dyDescent="0.25">
      <c r="A89" s="10" t="str">
        <f>IF(OR($B89="",$D89="",$F89="",$G89="",$H89="",$L89=""),"",IF($B89=TIPO_SERVICIO,IF($I89="","",$I89),PREFIJO_REC&amp;TEXT(SUMPRODUCT(($B$2:$B89&lt;&gt;TIPO_SERVICIO)*($B$2:$B89&lt;&gt;"")*($D$2:$D89&lt;&gt;"")*($F$2:$F89&lt;&gt;"")*($G$2:$G89&lt;&gt;"")*($H$2:$H89&lt;&gt;"")*($L$2:$L89&lt;&gt;"")),"0000")))</f>
        <v/>
      </c>
      <c r="B89" s="14"/>
      <c r="C89" s="10" t="str">
        <f t="shared" si="2"/>
        <v/>
      </c>
      <c r="D89" s="14"/>
      <c r="E89" s="14"/>
      <c r="F89" s="14"/>
      <c r="G89" s="15"/>
      <c r="H89" s="16"/>
      <c r="I89" s="14"/>
      <c r="J89" s="14"/>
      <c r="K89" s="10" t="str">
        <f>IF($J89="","",IFERROR(INDEX(PROV_NOM,MATCH($J89,PROV_COD,0)),""))</f>
        <v/>
      </c>
      <c r="L89" s="11" t="s">
        <v>35</v>
      </c>
    </row>
    <row r="90" spans="1:12" x14ac:dyDescent="0.25">
      <c r="A90" s="10" t="str">
        <f>IF(OR($B90="",$D90="",$F90="",$G90="",$H90="",$L90=""),"",IF($B90=TIPO_SERVICIO,IF($I90="","",$I90),PREFIJO_REC&amp;TEXT(SUMPRODUCT(($B$2:$B90&lt;&gt;TIPO_SERVICIO)*($B$2:$B90&lt;&gt;"")*($D$2:$D90&lt;&gt;"")*($F$2:$F90&lt;&gt;"")*($G$2:$G90&lt;&gt;"")*($H$2:$H90&lt;&gt;"")*($L$2:$L90&lt;&gt;"")),"0000")))</f>
        <v/>
      </c>
      <c r="B90" s="14"/>
      <c r="C90" s="10" t="str">
        <f t="shared" si="2"/>
        <v/>
      </c>
      <c r="D90" s="14"/>
      <c r="E90" s="14"/>
      <c r="F90" s="14"/>
      <c r="G90" s="15"/>
      <c r="H90" s="16"/>
      <c r="I90" s="14"/>
      <c r="J90" s="14"/>
      <c r="K90" s="10" t="str">
        <f>IF($J90="","",IFERROR(INDEX(PROV_NOM,MATCH($J90,PROV_COD,0)),""))</f>
        <v/>
      </c>
      <c r="L90" s="11" t="s">
        <v>35</v>
      </c>
    </row>
    <row r="91" spans="1:12" x14ac:dyDescent="0.25">
      <c r="A91" s="10" t="str">
        <f>IF(OR($B91="",$D91="",$F91="",$G91="",$H91="",$L91=""),"",IF($B91=TIPO_SERVICIO,IF($I91="","",$I91),PREFIJO_REC&amp;TEXT(SUMPRODUCT(($B$2:$B91&lt;&gt;TIPO_SERVICIO)*($B$2:$B91&lt;&gt;"")*($D$2:$D91&lt;&gt;"")*($F$2:$F91&lt;&gt;"")*($G$2:$G91&lt;&gt;"")*($H$2:$H91&lt;&gt;"")*($L$2:$L91&lt;&gt;"")),"0000")))</f>
        <v/>
      </c>
      <c r="B91" s="14"/>
      <c r="C91" s="10" t="str">
        <f t="shared" si="2"/>
        <v/>
      </c>
      <c r="D91" s="14"/>
      <c r="E91" s="14"/>
      <c r="F91" s="14"/>
      <c r="G91" s="15"/>
      <c r="H91" s="16"/>
      <c r="I91" s="14"/>
      <c r="J91" s="14"/>
      <c r="K91" s="10" t="str">
        <f>IF($J91="","",IFERROR(INDEX(PROV_NOM,MATCH($J91,PROV_COD,0)),""))</f>
        <v/>
      </c>
      <c r="L91" s="11" t="s">
        <v>35</v>
      </c>
    </row>
    <row r="92" spans="1:12" x14ac:dyDescent="0.25">
      <c r="A92" s="10" t="str">
        <f>IF(OR($B92="",$D92="",$F92="",$G92="",$H92="",$L92=""),"",IF($B92=TIPO_SERVICIO,IF($I92="","",$I92),PREFIJO_REC&amp;TEXT(SUMPRODUCT(($B$2:$B92&lt;&gt;TIPO_SERVICIO)*($B$2:$B92&lt;&gt;"")*($D$2:$D92&lt;&gt;"")*($F$2:$F92&lt;&gt;"")*($G$2:$G92&lt;&gt;"")*($H$2:$H92&lt;&gt;"")*($L$2:$L92&lt;&gt;"")),"0000")))</f>
        <v/>
      </c>
      <c r="B92" s="14"/>
      <c r="C92" s="10" t="str">
        <f t="shared" si="2"/>
        <v/>
      </c>
      <c r="D92" s="14"/>
      <c r="E92" s="14"/>
      <c r="F92" s="14"/>
      <c r="G92" s="15"/>
      <c r="H92" s="16"/>
      <c r="I92" s="14"/>
      <c r="J92" s="14"/>
      <c r="K92" s="10" t="str">
        <f>IF($J92="","",IFERROR(INDEX(PROV_NOM,MATCH($J92,PROV_COD,0)),""))</f>
        <v/>
      </c>
      <c r="L92" s="11" t="s">
        <v>35</v>
      </c>
    </row>
    <row r="93" spans="1:12" x14ac:dyDescent="0.25">
      <c r="A93" s="10" t="str">
        <f>IF(OR($B93="",$D93="",$F93="",$G93="",$H93="",$L93=""),"",IF($B93=TIPO_SERVICIO,IF($I93="","",$I93),PREFIJO_REC&amp;TEXT(SUMPRODUCT(($B$2:$B93&lt;&gt;TIPO_SERVICIO)*($B$2:$B93&lt;&gt;"")*($D$2:$D93&lt;&gt;"")*($F$2:$F93&lt;&gt;"")*($G$2:$G93&lt;&gt;"")*($H$2:$H93&lt;&gt;"")*($L$2:$L93&lt;&gt;"")),"0000")))</f>
        <v/>
      </c>
      <c r="B93" s="14"/>
      <c r="C93" s="10" t="str">
        <f t="shared" si="2"/>
        <v/>
      </c>
      <c r="D93" s="14"/>
      <c r="E93" s="14"/>
      <c r="F93" s="14"/>
      <c r="G93" s="15"/>
      <c r="H93" s="16"/>
      <c r="I93" s="14"/>
      <c r="J93" s="14"/>
      <c r="K93" s="10" t="str">
        <f>IF($J93="","",IFERROR(INDEX(PROV_NOM,MATCH($J93,PROV_COD,0)),""))</f>
        <v/>
      </c>
      <c r="L93" s="11" t="s">
        <v>35</v>
      </c>
    </row>
    <row r="94" spans="1:12" x14ac:dyDescent="0.25">
      <c r="A94" s="10" t="str">
        <f>IF(OR($B94="",$D94="",$F94="",$G94="",$H94="",$L94=""),"",IF($B94=TIPO_SERVICIO,IF($I94="","",$I94),PREFIJO_REC&amp;TEXT(SUMPRODUCT(($B$2:$B94&lt;&gt;TIPO_SERVICIO)*($B$2:$B94&lt;&gt;"")*($D$2:$D94&lt;&gt;"")*($F$2:$F94&lt;&gt;"")*($G$2:$G94&lt;&gt;"")*($H$2:$H94&lt;&gt;"")*($L$2:$L94&lt;&gt;"")),"0000")))</f>
        <v/>
      </c>
      <c r="B94" s="14"/>
      <c r="C94" s="10" t="str">
        <f t="shared" si="2"/>
        <v/>
      </c>
      <c r="D94" s="14"/>
      <c r="E94" s="14"/>
      <c r="F94" s="14"/>
      <c r="G94" s="15"/>
      <c r="H94" s="16"/>
      <c r="I94" s="14"/>
      <c r="J94" s="14"/>
      <c r="K94" s="10" t="str">
        <f>IF($J94="","",IFERROR(INDEX(PROV_NOM,MATCH($J94,PROV_COD,0)),""))</f>
        <v/>
      </c>
      <c r="L94" s="11" t="s">
        <v>35</v>
      </c>
    </row>
    <row r="95" spans="1:12" x14ac:dyDescent="0.25">
      <c r="A95" s="10" t="str">
        <f>IF(OR($B95="",$D95="",$F95="",$G95="",$H95="",$L95=""),"",IF($B95=TIPO_SERVICIO,IF($I95="","",$I95),PREFIJO_REC&amp;TEXT(SUMPRODUCT(($B$2:$B95&lt;&gt;TIPO_SERVICIO)*($B$2:$B95&lt;&gt;"")*($D$2:$D95&lt;&gt;"")*($F$2:$F95&lt;&gt;"")*($G$2:$G95&lt;&gt;"")*($H$2:$H95&lt;&gt;"")*($L$2:$L95&lt;&gt;"")),"0000")))</f>
        <v/>
      </c>
      <c r="B95" s="14"/>
      <c r="C95" s="10" t="str">
        <f t="shared" si="2"/>
        <v/>
      </c>
      <c r="D95" s="14"/>
      <c r="E95" s="14"/>
      <c r="F95" s="14"/>
      <c r="G95" s="15"/>
      <c r="H95" s="16"/>
      <c r="I95" s="14"/>
      <c r="J95" s="14"/>
      <c r="K95" s="10" t="str">
        <f>IF($J95="","",IFERROR(INDEX(PROV_NOM,MATCH($J95,PROV_COD,0)),""))</f>
        <v/>
      </c>
      <c r="L95" s="11" t="s">
        <v>35</v>
      </c>
    </row>
    <row r="96" spans="1:12" x14ac:dyDescent="0.25">
      <c r="A96" s="10" t="str">
        <f>IF(OR($B96="",$D96="",$F96="",$G96="",$H96="",$L96=""),"",IF($B96=TIPO_SERVICIO,IF($I96="","",$I96),PREFIJO_REC&amp;TEXT(SUMPRODUCT(($B$2:$B96&lt;&gt;TIPO_SERVICIO)*($B$2:$B96&lt;&gt;"")*($D$2:$D96&lt;&gt;"")*($F$2:$F96&lt;&gt;"")*($G$2:$G96&lt;&gt;"")*($H$2:$H96&lt;&gt;"")*($L$2:$L96&lt;&gt;"")),"0000")))</f>
        <v/>
      </c>
      <c r="B96" s="14"/>
      <c r="C96" s="10" t="str">
        <f t="shared" si="2"/>
        <v/>
      </c>
      <c r="D96" s="14"/>
      <c r="E96" s="14"/>
      <c r="F96" s="14"/>
      <c r="G96" s="15"/>
      <c r="H96" s="16"/>
      <c r="I96" s="14"/>
      <c r="J96" s="14"/>
      <c r="K96" s="10" t="str">
        <f>IF($J96="","",IFERROR(INDEX(PROV_NOM,MATCH($J96,PROV_COD,0)),""))</f>
        <v/>
      </c>
      <c r="L96" s="11" t="s">
        <v>35</v>
      </c>
    </row>
    <row r="97" spans="1:12" x14ac:dyDescent="0.25">
      <c r="A97" s="10" t="str">
        <f>IF(OR($B97="",$D97="",$F97="",$G97="",$H97="",$L97=""),"",IF($B97=TIPO_SERVICIO,IF($I97="","",$I97),PREFIJO_REC&amp;TEXT(SUMPRODUCT(($B$2:$B97&lt;&gt;TIPO_SERVICIO)*($B$2:$B97&lt;&gt;"")*($D$2:$D97&lt;&gt;"")*($F$2:$F97&lt;&gt;"")*($G$2:$G97&lt;&gt;"")*($H$2:$H97&lt;&gt;"")*($L$2:$L97&lt;&gt;"")),"0000")))</f>
        <v/>
      </c>
      <c r="B97" s="14"/>
      <c r="C97" s="10" t="str">
        <f t="shared" si="2"/>
        <v/>
      </c>
      <c r="D97" s="14"/>
      <c r="E97" s="14"/>
      <c r="F97" s="14"/>
      <c r="G97" s="15"/>
      <c r="H97" s="16"/>
      <c r="I97" s="14"/>
      <c r="J97" s="14"/>
      <c r="K97" s="10" t="str">
        <f>IF($J97="","",IFERROR(INDEX(PROV_NOM,MATCH($J97,PROV_COD,0)),""))</f>
        <v/>
      </c>
      <c r="L97" s="11" t="s">
        <v>35</v>
      </c>
    </row>
    <row r="98" spans="1:12" x14ac:dyDescent="0.25">
      <c r="A98" s="10" t="str">
        <f>IF(OR($B98="",$D98="",$F98="",$G98="",$H98="",$L98=""),"",IF($B98=TIPO_SERVICIO,IF($I98="","",$I98),PREFIJO_REC&amp;TEXT(SUMPRODUCT(($B$2:$B98&lt;&gt;TIPO_SERVICIO)*($B$2:$B98&lt;&gt;"")*($D$2:$D98&lt;&gt;"")*($F$2:$F98&lt;&gt;"")*($G$2:$G98&lt;&gt;"")*($H$2:$H98&lt;&gt;"")*($L$2:$L98&lt;&gt;"")),"0000")))</f>
        <v/>
      </c>
      <c r="B98" s="14"/>
      <c r="C98" s="10" t="str">
        <f t="shared" ref="C98:C129" si="3">IF($B98="","",IFERROR(INDEX(TREC_CLASE,MATCH($B98,TREC_NOMBRE,0)),""))</f>
        <v/>
      </c>
      <c r="D98" s="14"/>
      <c r="E98" s="14"/>
      <c r="F98" s="14"/>
      <c r="G98" s="15"/>
      <c r="H98" s="16"/>
      <c r="I98" s="14"/>
      <c r="J98" s="14"/>
      <c r="K98" s="10" t="str">
        <f>IF($J98="","",IFERROR(INDEX(PROV_NOM,MATCH($J98,PROV_COD,0)),""))</f>
        <v/>
      </c>
      <c r="L98" s="11" t="s">
        <v>35</v>
      </c>
    </row>
    <row r="99" spans="1:12" x14ac:dyDescent="0.25">
      <c r="A99" s="10" t="str">
        <f>IF(OR($B99="",$D99="",$F99="",$G99="",$H99="",$L99=""),"",IF($B99=TIPO_SERVICIO,IF($I99="","",$I99),PREFIJO_REC&amp;TEXT(SUMPRODUCT(($B$2:$B99&lt;&gt;TIPO_SERVICIO)*($B$2:$B99&lt;&gt;"")*($D$2:$D99&lt;&gt;"")*($F$2:$F99&lt;&gt;"")*($G$2:$G99&lt;&gt;"")*($H$2:$H99&lt;&gt;"")*($L$2:$L99&lt;&gt;"")),"0000")))</f>
        <v/>
      </c>
      <c r="B99" s="14"/>
      <c r="C99" s="10" t="str">
        <f t="shared" si="3"/>
        <v/>
      </c>
      <c r="D99" s="14"/>
      <c r="E99" s="14"/>
      <c r="F99" s="14"/>
      <c r="G99" s="15"/>
      <c r="H99" s="16"/>
      <c r="I99" s="14"/>
      <c r="J99" s="14"/>
      <c r="K99" s="10" t="str">
        <f>IF($J99="","",IFERROR(INDEX(PROV_NOM,MATCH($J99,PROV_COD,0)),""))</f>
        <v/>
      </c>
      <c r="L99" s="11" t="s">
        <v>35</v>
      </c>
    </row>
    <row r="100" spans="1:12" x14ac:dyDescent="0.25">
      <c r="A100" s="10" t="str">
        <f>IF(OR($B100="",$D100="",$F100="",$G100="",$H100="",$L100=""),"",IF($B100=TIPO_SERVICIO,IF($I100="","",$I100),PREFIJO_REC&amp;TEXT(SUMPRODUCT(($B$2:$B100&lt;&gt;TIPO_SERVICIO)*($B$2:$B100&lt;&gt;"")*($D$2:$D100&lt;&gt;"")*($F$2:$F100&lt;&gt;"")*($G$2:$G100&lt;&gt;"")*($H$2:$H100&lt;&gt;"")*($L$2:$L100&lt;&gt;"")),"0000")))</f>
        <v/>
      </c>
      <c r="B100" s="14"/>
      <c r="C100" s="10" t="str">
        <f t="shared" si="3"/>
        <v/>
      </c>
      <c r="D100" s="14"/>
      <c r="E100" s="14"/>
      <c r="F100" s="14"/>
      <c r="G100" s="15"/>
      <c r="H100" s="16"/>
      <c r="I100" s="14"/>
      <c r="J100" s="14"/>
      <c r="K100" s="10" t="str">
        <f>IF($J100="","",IFERROR(INDEX(PROV_NOM,MATCH($J100,PROV_COD,0)),""))</f>
        <v/>
      </c>
      <c r="L100" s="11" t="s">
        <v>35</v>
      </c>
    </row>
    <row r="101" spans="1:12" x14ac:dyDescent="0.25">
      <c r="A101" s="10" t="str">
        <f>IF(OR($B101="",$D101="",$F101="",$G101="",$H101="",$L101=""),"",IF($B101=TIPO_SERVICIO,IF($I101="","",$I101),PREFIJO_REC&amp;TEXT(SUMPRODUCT(($B$2:$B101&lt;&gt;TIPO_SERVICIO)*($B$2:$B101&lt;&gt;"")*($D$2:$D101&lt;&gt;"")*($F$2:$F101&lt;&gt;"")*($G$2:$G101&lt;&gt;"")*($H$2:$H101&lt;&gt;"")*($L$2:$L101&lt;&gt;"")),"0000")))</f>
        <v/>
      </c>
      <c r="B101" s="14"/>
      <c r="C101" s="10" t="str">
        <f t="shared" si="3"/>
        <v/>
      </c>
      <c r="D101" s="14"/>
      <c r="E101" s="14"/>
      <c r="F101" s="14"/>
      <c r="G101" s="15"/>
      <c r="H101" s="16"/>
      <c r="I101" s="14"/>
      <c r="J101" s="14"/>
      <c r="K101" s="10" t="str">
        <f>IF($J101="","",IFERROR(INDEX(PROV_NOM,MATCH($J101,PROV_COD,0)),""))</f>
        <v/>
      </c>
      <c r="L101" s="11" t="s">
        <v>35</v>
      </c>
    </row>
    <row r="102" spans="1:12" x14ac:dyDescent="0.25">
      <c r="A102" s="10" t="str">
        <f>IF(OR($B102="",$D102="",$F102="",$G102="",$H102="",$L102=""),"",IF($B102=TIPO_SERVICIO,IF($I102="","",$I102),PREFIJO_REC&amp;TEXT(SUMPRODUCT(($B$2:$B102&lt;&gt;TIPO_SERVICIO)*($B$2:$B102&lt;&gt;"")*($D$2:$D102&lt;&gt;"")*($F$2:$F102&lt;&gt;"")*($G$2:$G102&lt;&gt;"")*($H$2:$H102&lt;&gt;"")*($L$2:$L102&lt;&gt;"")),"0000")))</f>
        <v/>
      </c>
      <c r="B102" s="14"/>
      <c r="C102" s="10" t="str">
        <f t="shared" si="3"/>
        <v/>
      </c>
      <c r="D102" s="14"/>
      <c r="E102" s="14"/>
      <c r="F102" s="14"/>
      <c r="G102" s="15"/>
      <c r="H102" s="16"/>
      <c r="I102" s="14"/>
      <c r="J102" s="14"/>
      <c r="K102" s="10" t="str">
        <f>IF($J102="","",IFERROR(INDEX(PROV_NOM,MATCH($J102,PROV_COD,0)),""))</f>
        <v/>
      </c>
      <c r="L102" s="11" t="s">
        <v>35</v>
      </c>
    </row>
    <row r="103" spans="1:12" x14ac:dyDescent="0.25">
      <c r="A103" s="10" t="str">
        <f>IF(OR($B103="",$D103="",$F103="",$G103="",$H103="",$L103=""),"",IF($B103=TIPO_SERVICIO,IF($I103="","",$I103),PREFIJO_REC&amp;TEXT(SUMPRODUCT(($B$2:$B103&lt;&gt;TIPO_SERVICIO)*($B$2:$B103&lt;&gt;"")*($D$2:$D103&lt;&gt;"")*($F$2:$F103&lt;&gt;"")*($G$2:$G103&lt;&gt;"")*($H$2:$H103&lt;&gt;"")*($L$2:$L103&lt;&gt;"")),"0000")))</f>
        <v/>
      </c>
      <c r="B103" s="14"/>
      <c r="C103" s="10" t="str">
        <f t="shared" si="3"/>
        <v/>
      </c>
      <c r="D103" s="14"/>
      <c r="E103" s="14"/>
      <c r="F103" s="14"/>
      <c r="G103" s="15"/>
      <c r="H103" s="16"/>
      <c r="I103" s="14"/>
      <c r="J103" s="14"/>
      <c r="K103" s="10" t="str">
        <f>IF($J103="","",IFERROR(INDEX(PROV_NOM,MATCH($J103,PROV_COD,0)),""))</f>
        <v/>
      </c>
      <c r="L103" s="11" t="s">
        <v>35</v>
      </c>
    </row>
    <row r="104" spans="1:12" x14ac:dyDescent="0.25">
      <c r="A104" s="10" t="str">
        <f>IF(OR($B104="",$D104="",$F104="",$G104="",$H104="",$L104=""),"",IF($B104=TIPO_SERVICIO,IF($I104="","",$I104),PREFIJO_REC&amp;TEXT(SUMPRODUCT(($B$2:$B104&lt;&gt;TIPO_SERVICIO)*($B$2:$B104&lt;&gt;"")*($D$2:$D104&lt;&gt;"")*($F$2:$F104&lt;&gt;"")*($G$2:$G104&lt;&gt;"")*($H$2:$H104&lt;&gt;"")*($L$2:$L104&lt;&gt;"")),"0000")))</f>
        <v/>
      </c>
      <c r="B104" s="14"/>
      <c r="C104" s="10" t="str">
        <f t="shared" si="3"/>
        <v/>
      </c>
      <c r="D104" s="14"/>
      <c r="E104" s="14"/>
      <c r="F104" s="14"/>
      <c r="G104" s="15"/>
      <c r="H104" s="16"/>
      <c r="I104" s="14"/>
      <c r="J104" s="14"/>
      <c r="K104" s="10" t="str">
        <f>IF($J104="","",IFERROR(INDEX(PROV_NOM,MATCH($J104,PROV_COD,0)),""))</f>
        <v/>
      </c>
      <c r="L104" s="11" t="s">
        <v>35</v>
      </c>
    </row>
    <row r="105" spans="1:12" x14ac:dyDescent="0.25">
      <c r="A105" s="10" t="str">
        <f>IF(OR($B105="",$D105="",$F105="",$G105="",$H105="",$L105=""),"",IF($B105=TIPO_SERVICIO,IF($I105="","",$I105),PREFIJO_REC&amp;TEXT(SUMPRODUCT(($B$2:$B105&lt;&gt;TIPO_SERVICIO)*($B$2:$B105&lt;&gt;"")*($D$2:$D105&lt;&gt;"")*($F$2:$F105&lt;&gt;"")*($G$2:$G105&lt;&gt;"")*($H$2:$H105&lt;&gt;"")*($L$2:$L105&lt;&gt;"")),"0000")))</f>
        <v/>
      </c>
      <c r="B105" s="14"/>
      <c r="C105" s="10" t="str">
        <f t="shared" si="3"/>
        <v/>
      </c>
      <c r="D105" s="14"/>
      <c r="E105" s="14"/>
      <c r="F105" s="14"/>
      <c r="G105" s="15"/>
      <c r="H105" s="16"/>
      <c r="I105" s="14"/>
      <c r="J105" s="14"/>
      <c r="K105" s="10" t="str">
        <f>IF($J105="","",IFERROR(INDEX(PROV_NOM,MATCH($J105,PROV_COD,0)),""))</f>
        <v/>
      </c>
      <c r="L105" s="11" t="s">
        <v>35</v>
      </c>
    </row>
    <row r="106" spans="1:12" x14ac:dyDescent="0.25">
      <c r="A106" s="10" t="str">
        <f>IF(OR($B106="",$D106="",$F106="",$G106="",$H106="",$L106=""),"",IF($B106=TIPO_SERVICIO,IF($I106="","",$I106),PREFIJO_REC&amp;TEXT(SUMPRODUCT(($B$2:$B106&lt;&gt;TIPO_SERVICIO)*($B$2:$B106&lt;&gt;"")*($D$2:$D106&lt;&gt;"")*($F$2:$F106&lt;&gt;"")*($G$2:$G106&lt;&gt;"")*($H$2:$H106&lt;&gt;"")*($L$2:$L106&lt;&gt;"")),"0000")))</f>
        <v/>
      </c>
      <c r="B106" s="14"/>
      <c r="C106" s="10" t="str">
        <f t="shared" si="3"/>
        <v/>
      </c>
      <c r="D106" s="14"/>
      <c r="E106" s="14"/>
      <c r="F106" s="14"/>
      <c r="G106" s="15"/>
      <c r="H106" s="16"/>
      <c r="I106" s="14"/>
      <c r="J106" s="14"/>
      <c r="K106" s="10" t="str">
        <f>IF($J106="","",IFERROR(INDEX(PROV_NOM,MATCH($J106,PROV_COD,0)),""))</f>
        <v/>
      </c>
      <c r="L106" s="11" t="s">
        <v>35</v>
      </c>
    </row>
    <row r="107" spans="1:12" x14ac:dyDescent="0.25">
      <c r="A107" s="10" t="str">
        <f>IF(OR($B107="",$D107="",$F107="",$G107="",$H107="",$L107=""),"",IF($B107=TIPO_SERVICIO,IF($I107="","",$I107),PREFIJO_REC&amp;TEXT(SUMPRODUCT(($B$2:$B107&lt;&gt;TIPO_SERVICIO)*($B$2:$B107&lt;&gt;"")*($D$2:$D107&lt;&gt;"")*($F$2:$F107&lt;&gt;"")*($G$2:$G107&lt;&gt;"")*($H$2:$H107&lt;&gt;"")*($L$2:$L107&lt;&gt;"")),"0000")))</f>
        <v/>
      </c>
      <c r="B107" s="14"/>
      <c r="C107" s="10" t="str">
        <f t="shared" si="3"/>
        <v/>
      </c>
      <c r="D107" s="14"/>
      <c r="E107" s="14"/>
      <c r="F107" s="14"/>
      <c r="G107" s="15"/>
      <c r="H107" s="16"/>
      <c r="I107" s="14"/>
      <c r="J107" s="14"/>
      <c r="K107" s="10" t="str">
        <f>IF($J107="","",IFERROR(INDEX(PROV_NOM,MATCH($J107,PROV_COD,0)),""))</f>
        <v/>
      </c>
      <c r="L107" s="11" t="s">
        <v>35</v>
      </c>
    </row>
    <row r="108" spans="1:12" x14ac:dyDescent="0.25">
      <c r="A108" s="10" t="str">
        <f>IF(OR($B108="",$D108="",$F108="",$G108="",$H108="",$L108=""),"",IF($B108=TIPO_SERVICIO,IF($I108="","",$I108),PREFIJO_REC&amp;TEXT(SUMPRODUCT(($B$2:$B108&lt;&gt;TIPO_SERVICIO)*($B$2:$B108&lt;&gt;"")*($D$2:$D108&lt;&gt;"")*($F$2:$F108&lt;&gt;"")*($G$2:$G108&lt;&gt;"")*($H$2:$H108&lt;&gt;"")*($L$2:$L108&lt;&gt;"")),"0000")))</f>
        <v/>
      </c>
      <c r="B108" s="14"/>
      <c r="C108" s="10" t="str">
        <f t="shared" si="3"/>
        <v/>
      </c>
      <c r="D108" s="14"/>
      <c r="E108" s="14"/>
      <c r="F108" s="14"/>
      <c r="G108" s="15"/>
      <c r="H108" s="16"/>
      <c r="I108" s="14"/>
      <c r="J108" s="14"/>
      <c r="K108" s="10" t="str">
        <f>IF($J108="","",IFERROR(INDEX(PROV_NOM,MATCH($J108,PROV_COD,0)),""))</f>
        <v/>
      </c>
      <c r="L108" s="11" t="s">
        <v>35</v>
      </c>
    </row>
    <row r="109" spans="1:12" x14ac:dyDescent="0.25">
      <c r="A109" s="10" t="str">
        <f>IF(OR($B109="",$D109="",$F109="",$G109="",$H109="",$L109=""),"",IF($B109=TIPO_SERVICIO,IF($I109="","",$I109),PREFIJO_REC&amp;TEXT(SUMPRODUCT(($B$2:$B109&lt;&gt;TIPO_SERVICIO)*($B$2:$B109&lt;&gt;"")*($D$2:$D109&lt;&gt;"")*($F$2:$F109&lt;&gt;"")*($G$2:$G109&lt;&gt;"")*($H$2:$H109&lt;&gt;"")*($L$2:$L109&lt;&gt;"")),"0000")))</f>
        <v/>
      </c>
      <c r="B109" s="14"/>
      <c r="C109" s="10" t="str">
        <f t="shared" si="3"/>
        <v/>
      </c>
      <c r="D109" s="14"/>
      <c r="E109" s="14"/>
      <c r="F109" s="14"/>
      <c r="G109" s="15"/>
      <c r="H109" s="16"/>
      <c r="I109" s="14"/>
      <c r="J109" s="14"/>
      <c r="K109" s="10" t="str">
        <f>IF($J109="","",IFERROR(INDEX(PROV_NOM,MATCH($J109,PROV_COD,0)),""))</f>
        <v/>
      </c>
      <c r="L109" s="11" t="s">
        <v>35</v>
      </c>
    </row>
    <row r="110" spans="1:12" x14ac:dyDescent="0.25">
      <c r="A110" s="10" t="str">
        <f>IF(OR($B110="",$D110="",$F110="",$G110="",$H110="",$L110=""),"",IF($B110=TIPO_SERVICIO,IF($I110="","",$I110),PREFIJO_REC&amp;TEXT(SUMPRODUCT(($B$2:$B110&lt;&gt;TIPO_SERVICIO)*($B$2:$B110&lt;&gt;"")*($D$2:$D110&lt;&gt;"")*($F$2:$F110&lt;&gt;"")*($G$2:$G110&lt;&gt;"")*($H$2:$H110&lt;&gt;"")*($L$2:$L110&lt;&gt;"")),"0000")))</f>
        <v/>
      </c>
      <c r="B110" s="14"/>
      <c r="C110" s="10" t="str">
        <f t="shared" si="3"/>
        <v/>
      </c>
      <c r="D110" s="14"/>
      <c r="E110" s="14"/>
      <c r="F110" s="14"/>
      <c r="G110" s="15"/>
      <c r="H110" s="16"/>
      <c r="I110" s="14"/>
      <c r="J110" s="14"/>
      <c r="K110" s="10" t="str">
        <f>IF($J110="","",IFERROR(INDEX(PROV_NOM,MATCH($J110,PROV_COD,0)),""))</f>
        <v/>
      </c>
      <c r="L110" s="11" t="s">
        <v>35</v>
      </c>
    </row>
    <row r="111" spans="1:12" x14ac:dyDescent="0.25">
      <c r="A111" s="10" t="str">
        <f>IF(OR($B111="",$D111="",$F111="",$G111="",$H111="",$L111=""),"",IF($B111=TIPO_SERVICIO,IF($I111="","",$I111),PREFIJO_REC&amp;TEXT(SUMPRODUCT(($B$2:$B111&lt;&gt;TIPO_SERVICIO)*($B$2:$B111&lt;&gt;"")*($D$2:$D111&lt;&gt;"")*($F$2:$F111&lt;&gt;"")*($G$2:$G111&lt;&gt;"")*($H$2:$H111&lt;&gt;"")*($L$2:$L111&lt;&gt;"")),"0000")))</f>
        <v/>
      </c>
      <c r="B111" s="14"/>
      <c r="C111" s="10" t="str">
        <f t="shared" si="3"/>
        <v/>
      </c>
      <c r="D111" s="14"/>
      <c r="E111" s="14"/>
      <c r="F111" s="14"/>
      <c r="G111" s="15"/>
      <c r="H111" s="16"/>
      <c r="I111" s="14"/>
      <c r="J111" s="14"/>
      <c r="K111" s="10" t="str">
        <f>IF($J111="","",IFERROR(INDEX(PROV_NOM,MATCH($J111,PROV_COD,0)),""))</f>
        <v/>
      </c>
      <c r="L111" s="11" t="s">
        <v>35</v>
      </c>
    </row>
    <row r="112" spans="1:12" x14ac:dyDescent="0.25">
      <c r="A112" s="10" t="str">
        <f>IF(OR($B112="",$D112="",$F112="",$G112="",$H112="",$L112=""),"",IF($B112=TIPO_SERVICIO,IF($I112="","",$I112),PREFIJO_REC&amp;TEXT(SUMPRODUCT(($B$2:$B112&lt;&gt;TIPO_SERVICIO)*($B$2:$B112&lt;&gt;"")*($D$2:$D112&lt;&gt;"")*($F$2:$F112&lt;&gt;"")*($G$2:$G112&lt;&gt;"")*($H$2:$H112&lt;&gt;"")*($L$2:$L112&lt;&gt;"")),"0000")))</f>
        <v/>
      </c>
      <c r="B112" s="14"/>
      <c r="C112" s="10" t="str">
        <f t="shared" si="3"/>
        <v/>
      </c>
      <c r="D112" s="14"/>
      <c r="E112" s="14"/>
      <c r="F112" s="14"/>
      <c r="G112" s="15"/>
      <c r="H112" s="16"/>
      <c r="I112" s="14"/>
      <c r="J112" s="14"/>
      <c r="K112" s="10" t="str">
        <f>IF($J112="","",IFERROR(INDEX(PROV_NOM,MATCH($J112,PROV_COD,0)),""))</f>
        <v/>
      </c>
      <c r="L112" s="11" t="s">
        <v>35</v>
      </c>
    </row>
    <row r="113" spans="1:12" x14ac:dyDescent="0.25">
      <c r="A113" s="10" t="str">
        <f>IF(OR($B113="",$D113="",$F113="",$G113="",$H113="",$L113=""),"",IF($B113=TIPO_SERVICIO,IF($I113="","",$I113),PREFIJO_REC&amp;TEXT(SUMPRODUCT(($B$2:$B113&lt;&gt;TIPO_SERVICIO)*($B$2:$B113&lt;&gt;"")*($D$2:$D113&lt;&gt;"")*($F$2:$F113&lt;&gt;"")*($G$2:$G113&lt;&gt;"")*($H$2:$H113&lt;&gt;"")*($L$2:$L113&lt;&gt;"")),"0000")))</f>
        <v/>
      </c>
      <c r="B113" s="14"/>
      <c r="C113" s="10" t="str">
        <f t="shared" si="3"/>
        <v/>
      </c>
      <c r="D113" s="14"/>
      <c r="E113" s="14"/>
      <c r="F113" s="14"/>
      <c r="G113" s="15"/>
      <c r="H113" s="16"/>
      <c r="I113" s="14"/>
      <c r="J113" s="14"/>
      <c r="K113" s="10" t="str">
        <f>IF($J113="","",IFERROR(INDEX(PROV_NOM,MATCH($J113,PROV_COD,0)),""))</f>
        <v/>
      </c>
      <c r="L113" s="11" t="s">
        <v>35</v>
      </c>
    </row>
    <row r="114" spans="1:12" x14ac:dyDescent="0.25">
      <c r="A114" s="10" t="str">
        <f>IF(OR($B114="",$D114="",$F114="",$G114="",$H114="",$L114=""),"",IF($B114=TIPO_SERVICIO,IF($I114="","",$I114),PREFIJO_REC&amp;TEXT(SUMPRODUCT(($B$2:$B114&lt;&gt;TIPO_SERVICIO)*($B$2:$B114&lt;&gt;"")*($D$2:$D114&lt;&gt;"")*($F$2:$F114&lt;&gt;"")*($G$2:$G114&lt;&gt;"")*($H$2:$H114&lt;&gt;"")*($L$2:$L114&lt;&gt;"")),"0000")))</f>
        <v/>
      </c>
      <c r="B114" s="14"/>
      <c r="C114" s="10" t="str">
        <f t="shared" si="3"/>
        <v/>
      </c>
      <c r="D114" s="14"/>
      <c r="E114" s="14"/>
      <c r="F114" s="14"/>
      <c r="G114" s="15"/>
      <c r="H114" s="16"/>
      <c r="I114" s="14"/>
      <c r="J114" s="14"/>
      <c r="K114" s="10" t="str">
        <f>IF($J114="","",IFERROR(INDEX(PROV_NOM,MATCH($J114,PROV_COD,0)),""))</f>
        <v/>
      </c>
      <c r="L114" s="11" t="s">
        <v>35</v>
      </c>
    </row>
    <row r="115" spans="1:12" x14ac:dyDescent="0.25">
      <c r="A115" s="10" t="str">
        <f>IF(OR($B115="",$D115="",$F115="",$G115="",$H115="",$L115=""),"",IF($B115=TIPO_SERVICIO,IF($I115="","",$I115),PREFIJO_REC&amp;TEXT(SUMPRODUCT(($B$2:$B115&lt;&gt;TIPO_SERVICIO)*($B$2:$B115&lt;&gt;"")*($D$2:$D115&lt;&gt;"")*($F$2:$F115&lt;&gt;"")*($G$2:$G115&lt;&gt;"")*($H$2:$H115&lt;&gt;"")*($L$2:$L115&lt;&gt;"")),"0000")))</f>
        <v/>
      </c>
      <c r="B115" s="14"/>
      <c r="C115" s="10" t="str">
        <f t="shared" si="3"/>
        <v/>
      </c>
      <c r="D115" s="14"/>
      <c r="E115" s="14"/>
      <c r="F115" s="14"/>
      <c r="G115" s="15"/>
      <c r="H115" s="16"/>
      <c r="I115" s="14"/>
      <c r="J115" s="14"/>
      <c r="K115" s="10" t="str">
        <f>IF($J115="","",IFERROR(INDEX(PROV_NOM,MATCH($J115,PROV_COD,0)),""))</f>
        <v/>
      </c>
      <c r="L115" s="11" t="s">
        <v>35</v>
      </c>
    </row>
    <row r="116" spans="1:12" x14ac:dyDescent="0.25">
      <c r="A116" s="10" t="str">
        <f>IF(OR($B116="",$D116="",$F116="",$G116="",$H116="",$L116=""),"",IF($B116=TIPO_SERVICIO,IF($I116="","",$I116),PREFIJO_REC&amp;TEXT(SUMPRODUCT(($B$2:$B116&lt;&gt;TIPO_SERVICIO)*($B$2:$B116&lt;&gt;"")*($D$2:$D116&lt;&gt;"")*($F$2:$F116&lt;&gt;"")*($G$2:$G116&lt;&gt;"")*($H$2:$H116&lt;&gt;"")*($L$2:$L116&lt;&gt;"")),"0000")))</f>
        <v/>
      </c>
      <c r="B116" s="14"/>
      <c r="C116" s="10" t="str">
        <f t="shared" si="3"/>
        <v/>
      </c>
      <c r="D116" s="14"/>
      <c r="E116" s="14"/>
      <c r="F116" s="14"/>
      <c r="G116" s="15"/>
      <c r="H116" s="16"/>
      <c r="I116" s="14"/>
      <c r="J116" s="14"/>
      <c r="K116" s="10" t="str">
        <f>IF($J116="","",IFERROR(INDEX(PROV_NOM,MATCH($J116,PROV_COD,0)),""))</f>
        <v/>
      </c>
      <c r="L116" s="11" t="s">
        <v>35</v>
      </c>
    </row>
    <row r="117" spans="1:12" x14ac:dyDescent="0.25">
      <c r="A117" s="10" t="str">
        <f>IF(OR($B117="",$D117="",$F117="",$G117="",$H117="",$L117=""),"",IF($B117=TIPO_SERVICIO,IF($I117="","",$I117),PREFIJO_REC&amp;TEXT(SUMPRODUCT(($B$2:$B117&lt;&gt;TIPO_SERVICIO)*($B$2:$B117&lt;&gt;"")*($D$2:$D117&lt;&gt;"")*($F$2:$F117&lt;&gt;"")*($G$2:$G117&lt;&gt;"")*($H$2:$H117&lt;&gt;"")*($L$2:$L117&lt;&gt;"")),"0000")))</f>
        <v/>
      </c>
      <c r="B117" s="14"/>
      <c r="C117" s="10" t="str">
        <f t="shared" si="3"/>
        <v/>
      </c>
      <c r="D117" s="14"/>
      <c r="E117" s="14"/>
      <c r="F117" s="14"/>
      <c r="G117" s="15"/>
      <c r="H117" s="16"/>
      <c r="I117" s="14"/>
      <c r="J117" s="14"/>
      <c r="K117" s="10" t="str">
        <f>IF($J117="","",IFERROR(INDEX(PROV_NOM,MATCH($J117,PROV_COD,0)),""))</f>
        <v/>
      </c>
      <c r="L117" s="11" t="s">
        <v>35</v>
      </c>
    </row>
    <row r="118" spans="1:12" x14ac:dyDescent="0.25">
      <c r="A118" s="10" t="str">
        <f>IF(OR($B118="",$D118="",$F118="",$G118="",$H118="",$L118=""),"",IF($B118=TIPO_SERVICIO,IF($I118="","",$I118),PREFIJO_REC&amp;TEXT(SUMPRODUCT(($B$2:$B118&lt;&gt;TIPO_SERVICIO)*($B$2:$B118&lt;&gt;"")*($D$2:$D118&lt;&gt;"")*($F$2:$F118&lt;&gt;"")*($G$2:$G118&lt;&gt;"")*($H$2:$H118&lt;&gt;"")*($L$2:$L118&lt;&gt;"")),"0000")))</f>
        <v/>
      </c>
      <c r="B118" s="14"/>
      <c r="C118" s="10" t="str">
        <f t="shared" si="3"/>
        <v/>
      </c>
      <c r="D118" s="14"/>
      <c r="E118" s="14"/>
      <c r="F118" s="14"/>
      <c r="G118" s="15"/>
      <c r="H118" s="16"/>
      <c r="I118" s="14"/>
      <c r="J118" s="14"/>
      <c r="K118" s="10" t="str">
        <f>IF($J118="","",IFERROR(INDEX(PROV_NOM,MATCH($J118,PROV_COD,0)),""))</f>
        <v/>
      </c>
      <c r="L118" s="11" t="s">
        <v>35</v>
      </c>
    </row>
    <row r="119" spans="1:12" x14ac:dyDescent="0.25">
      <c r="A119" s="10" t="str">
        <f>IF(OR($B119="",$D119="",$F119="",$G119="",$H119="",$L119=""),"",IF($B119=TIPO_SERVICIO,IF($I119="","",$I119),PREFIJO_REC&amp;TEXT(SUMPRODUCT(($B$2:$B119&lt;&gt;TIPO_SERVICIO)*($B$2:$B119&lt;&gt;"")*($D$2:$D119&lt;&gt;"")*($F$2:$F119&lt;&gt;"")*($G$2:$G119&lt;&gt;"")*($H$2:$H119&lt;&gt;"")*($L$2:$L119&lt;&gt;"")),"0000")))</f>
        <v/>
      </c>
      <c r="B119" s="14"/>
      <c r="C119" s="10" t="str">
        <f t="shared" si="3"/>
        <v/>
      </c>
      <c r="D119" s="14"/>
      <c r="E119" s="14"/>
      <c r="F119" s="14"/>
      <c r="G119" s="15"/>
      <c r="H119" s="16"/>
      <c r="I119" s="14"/>
      <c r="J119" s="14"/>
      <c r="K119" s="10" t="str">
        <f>IF($J119="","",IFERROR(INDEX(PROV_NOM,MATCH($J119,PROV_COD,0)),""))</f>
        <v/>
      </c>
      <c r="L119" s="11" t="s">
        <v>35</v>
      </c>
    </row>
    <row r="120" spans="1:12" x14ac:dyDescent="0.25">
      <c r="A120" s="10" t="str">
        <f>IF(OR($B120="",$D120="",$F120="",$G120="",$H120="",$L120=""),"",IF($B120=TIPO_SERVICIO,IF($I120="","",$I120),PREFIJO_REC&amp;TEXT(SUMPRODUCT(($B$2:$B120&lt;&gt;TIPO_SERVICIO)*($B$2:$B120&lt;&gt;"")*($D$2:$D120&lt;&gt;"")*($F$2:$F120&lt;&gt;"")*($G$2:$G120&lt;&gt;"")*($H$2:$H120&lt;&gt;"")*($L$2:$L120&lt;&gt;"")),"0000")))</f>
        <v/>
      </c>
      <c r="B120" s="14"/>
      <c r="C120" s="10" t="str">
        <f t="shared" si="3"/>
        <v/>
      </c>
      <c r="D120" s="14"/>
      <c r="E120" s="14"/>
      <c r="F120" s="14"/>
      <c r="G120" s="15"/>
      <c r="H120" s="16"/>
      <c r="I120" s="14"/>
      <c r="J120" s="14"/>
      <c r="K120" s="10" t="str">
        <f>IF($J120="","",IFERROR(INDEX(PROV_NOM,MATCH($J120,PROV_COD,0)),""))</f>
        <v/>
      </c>
      <c r="L120" s="11" t="s">
        <v>35</v>
      </c>
    </row>
    <row r="121" spans="1:12" x14ac:dyDescent="0.25">
      <c r="A121" s="10" t="str">
        <f>IF(OR($B121="",$D121="",$F121="",$G121="",$H121="",$L121=""),"",IF($B121=TIPO_SERVICIO,IF($I121="","",$I121),PREFIJO_REC&amp;TEXT(SUMPRODUCT(($B$2:$B121&lt;&gt;TIPO_SERVICIO)*($B$2:$B121&lt;&gt;"")*($D$2:$D121&lt;&gt;"")*($F$2:$F121&lt;&gt;"")*($G$2:$G121&lt;&gt;"")*($H$2:$H121&lt;&gt;"")*($L$2:$L121&lt;&gt;"")),"0000")))</f>
        <v/>
      </c>
      <c r="B121" s="14"/>
      <c r="C121" s="10" t="str">
        <f t="shared" si="3"/>
        <v/>
      </c>
      <c r="D121" s="14"/>
      <c r="E121" s="14"/>
      <c r="F121" s="14"/>
      <c r="G121" s="15"/>
      <c r="H121" s="16"/>
      <c r="I121" s="14"/>
      <c r="J121" s="14"/>
      <c r="K121" s="10" t="str">
        <f>IF($J121="","",IFERROR(INDEX(PROV_NOM,MATCH($J121,PROV_COD,0)),""))</f>
        <v/>
      </c>
      <c r="L121" s="11" t="s">
        <v>35</v>
      </c>
    </row>
    <row r="122" spans="1:12" x14ac:dyDescent="0.25">
      <c r="A122" s="10" t="str">
        <f>IF(OR($B122="",$D122="",$F122="",$G122="",$H122="",$L122=""),"",IF($B122=TIPO_SERVICIO,IF($I122="","",$I122),PREFIJO_REC&amp;TEXT(SUMPRODUCT(($B$2:$B122&lt;&gt;TIPO_SERVICIO)*($B$2:$B122&lt;&gt;"")*($D$2:$D122&lt;&gt;"")*($F$2:$F122&lt;&gt;"")*($G$2:$G122&lt;&gt;"")*($H$2:$H122&lt;&gt;"")*($L$2:$L122&lt;&gt;"")),"0000")))</f>
        <v/>
      </c>
      <c r="B122" s="14"/>
      <c r="C122" s="10" t="str">
        <f t="shared" si="3"/>
        <v/>
      </c>
      <c r="D122" s="14"/>
      <c r="E122" s="14"/>
      <c r="F122" s="14"/>
      <c r="G122" s="15"/>
      <c r="H122" s="16"/>
      <c r="I122" s="14"/>
      <c r="J122" s="14"/>
      <c r="K122" s="10" t="str">
        <f>IF($J122="","",IFERROR(INDEX(PROV_NOM,MATCH($J122,PROV_COD,0)),""))</f>
        <v/>
      </c>
      <c r="L122" s="11" t="s">
        <v>35</v>
      </c>
    </row>
    <row r="123" spans="1:12" x14ac:dyDescent="0.25">
      <c r="A123" s="10" t="str">
        <f>IF(OR($B123="",$D123="",$F123="",$G123="",$H123="",$L123=""),"",IF($B123=TIPO_SERVICIO,IF($I123="","",$I123),PREFIJO_REC&amp;TEXT(SUMPRODUCT(($B$2:$B123&lt;&gt;TIPO_SERVICIO)*($B$2:$B123&lt;&gt;"")*($D$2:$D123&lt;&gt;"")*($F$2:$F123&lt;&gt;"")*($G$2:$G123&lt;&gt;"")*($H$2:$H123&lt;&gt;"")*($L$2:$L123&lt;&gt;"")),"0000")))</f>
        <v/>
      </c>
      <c r="B123" s="14"/>
      <c r="C123" s="10" t="str">
        <f t="shared" si="3"/>
        <v/>
      </c>
      <c r="D123" s="14"/>
      <c r="E123" s="14"/>
      <c r="F123" s="14"/>
      <c r="G123" s="15"/>
      <c r="H123" s="16"/>
      <c r="I123" s="14"/>
      <c r="J123" s="14"/>
      <c r="K123" s="10" t="str">
        <f>IF($J123="","",IFERROR(INDEX(PROV_NOM,MATCH($J123,PROV_COD,0)),""))</f>
        <v/>
      </c>
      <c r="L123" s="11" t="s">
        <v>35</v>
      </c>
    </row>
    <row r="124" spans="1:12" x14ac:dyDescent="0.25">
      <c r="A124" s="10" t="str">
        <f>IF(OR($B124="",$D124="",$F124="",$G124="",$H124="",$L124=""),"",IF($B124=TIPO_SERVICIO,IF($I124="","",$I124),PREFIJO_REC&amp;TEXT(SUMPRODUCT(($B$2:$B124&lt;&gt;TIPO_SERVICIO)*($B$2:$B124&lt;&gt;"")*($D$2:$D124&lt;&gt;"")*($F$2:$F124&lt;&gt;"")*($G$2:$G124&lt;&gt;"")*($H$2:$H124&lt;&gt;"")*($L$2:$L124&lt;&gt;"")),"0000")))</f>
        <v/>
      </c>
      <c r="B124" s="14"/>
      <c r="C124" s="10" t="str">
        <f t="shared" si="3"/>
        <v/>
      </c>
      <c r="D124" s="14"/>
      <c r="E124" s="14"/>
      <c r="F124" s="14"/>
      <c r="G124" s="15"/>
      <c r="H124" s="16"/>
      <c r="I124" s="14"/>
      <c r="J124" s="14"/>
      <c r="K124" s="10" t="str">
        <f>IF($J124="","",IFERROR(INDEX(PROV_NOM,MATCH($J124,PROV_COD,0)),""))</f>
        <v/>
      </c>
      <c r="L124" s="11" t="s">
        <v>35</v>
      </c>
    </row>
    <row r="125" spans="1:12" x14ac:dyDescent="0.25">
      <c r="A125" s="10" t="str">
        <f>IF(OR($B125="",$D125="",$F125="",$G125="",$H125="",$L125=""),"",IF($B125=TIPO_SERVICIO,IF($I125="","",$I125),PREFIJO_REC&amp;TEXT(SUMPRODUCT(($B$2:$B125&lt;&gt;TIPO_SERVICIO)*($B$2:$B125&lt;&gt;"")*($D$2:$D125&lt;&gt;"")*($F$2:$F125&lt;&gt;"")*($G$2:$G125&lt;&gt;"")*($H$2:$H125&lt;&gt;"")*($L$2:$L125&lt;&gt;"")),"0000")))</f>
        <v/>
      </c>
      <c r="B125" s="14"/>
      <c r="C125" s="10" t="str">
        <f t="shared" si="3"/>
        <v/>
      </c>
      <c r="D125" s="14"/>
      <c r="E125" s="14"/>
      <c r="F125" s="14"/>
      <c r="G125" s="15"/>
      <c r="H125" s="16"/>
      <c r="I125" s="14"/>
      <c r="J125" s="14"/>
      <c r="K125" s="10" t="str">
        <f>IF($J125="","",IFERROR(INDEX(PROV_NOM,MATCH($J125,PROV_COD,0)),""))</f>
        <v/>
      </c>
      <c r="L125" s="11" t="s">
        <v>35</v>
      </c>
    </row>
    <row r="126" spans="1:12" x14ac:dyDescent="0.25">
      <c r="A126" s="10" t="str">
        <f>IF(OR($B126="",$D126="",$F126="",$G126="",$H126="",$L126=""),"",IF($B126=TIPO_SERVICIO,IF($I126="","",$I126),PREFIJO_REC&amp;TEXT(SUMPRODUCT(($B$2:$B126&lt;&gt;TIPO_SERVICIO)*($B$2:$B126&lt;&gt;"")*($D$2:$D126&lt;&gt;"")*($F$2:$F126&lt;&gt;"")*($G$2:$G126&lt;&gt;"")*($H$2:$H126&lt;&gt;"")*($L$2:$L126&lt;&gt;"")),"0000")))</f>
        <v/>
      </c>
      <c r="B126" s="14"/>
      <c r="C126" s="10" t="str">
        <f t="shared" si="3"/>
        <v/>
      </c>
      <c r="D126" s="14"/>
      <c r="E126" s="14"/>
      <c r="F126" s="14"/>
      <c r="G126" s="15"/>
      <c r="H126" s="16"/>
      <c r="I126" s="14"/>
      <c r="J126" s="14"/>
      <c r="K126" s="10" t="str">
        <f>IF($J126="","",IFERROR(INDEX(PROV_NOM,MATCH($J126,PROV_COD,0)),""))</f>
        <v/>
      </c>
      <c r="L126" s="11" t="s">
        <v>35</v>
      </c>
    </row>
    <row r="127" spans="1:12" x14ac:dyDescent="0.25">
      <c r="A127" s="10" t="str">
        <f>IF(OR($B127="",$D127="",$F127="",$G127="",$H127="",$L127=""),"",IF($B127=TIPO_SERVICIO,IF($I127="","",$I127),PREFIJO_REC&amp;TEXT(SUMPRODUCT(($B$2:$B127&lt;&gt;TIPO_SERVICIO)*($B$2:$B127&lt;&gt;"")*($D$2:$D127&lt;&gt;"")*($F$2:$F127&lt;&gt;"")*($G$2:$G127&lt;&gt;"")*($H$2:$H127&lt;&gt;"")*($L$2:$L127&lt;&gt;"")),"0000")))</f>
        <v/>
      </c>
      <c r="B127" s="14"/>
      <c r="C127" s="10" t="str">
        <f t="shared" si="3"/>
        <v/>
      </c>
      <c r="D127" s="14"/>
      <c r="E127" s="14"/>
      <c r="F127" s="14"/>
      <c r="G127" s="15"/>
      <c r="H127" s="16"/>
      <c r="I127" s="14"/>
      <c r="J127" s="14"/>
      <c r="K127" s="10" t="str">
        <f>IF($J127="","",IFERROR(INDEX(PROV_NOM,MATCH($J127,PROV_COD,0)),""))</f>
        <v/>
      </c>
      <c r="L127" s="11" t="s">
        <v>35</v>
      </c>
    </row>
    <row r="128" spans="1:12" x14ac:dyDescent="0.25">
      <c r="A128" s="10" t="str">
        <f>IF(OR($B128="",$D128="",$F128="",$G128="",$H128="",$L128=""),"",IF($B128=TIPO_SERVICIO,IF($I128="","",$I128),PREFIJO_REC&amp;TEXT(SUMPRODUCT(($B$2:$B128&lt;&gt;TIPO_SERVICIO)*($B$2:$B128&lt;&gt;"")*($D$2:$D128&lt;&gt;"")*($F$2:$F128&lt;&gt;"")*($G$2:$G128&lt;&gt;"")*($H$2:$H128&lt;&gt;"")*($L$2:$L128&lt;&gt;"")),"0000")))</f>
        <v/>
      </c>
      <c r="B128" s="14"/>
      <c r="C128" s="10" t="str">
        <f t="shared" si="3"/>
        <v/>
      </c>
      <c r="D128" s="14"/>
      <c r="E128" s="14"/>
      <c r="F128" s="14"/>
      <c r="G128" s="15"/>
      <c r="H128" s="16"/>
      <c r="I128" s="14"/>
      <c r="J128" s="14"/>
      <c r="K128" s="10" t="str">
        <f>IF($J128="","",IFERROR(INDEX(PROV_NOM,MATCH($J128,PROV_COD,0)),""))</f>
        <v/>
      </c>
      <c r="L128" s="11" t="s">
        <v>35</v>
      </c>
    </row>
    <row r="129" spans="1:12" x14ac:dyDescent="0.25">
      <c r="A129" s="10" t="str">
        <f>IF(OR($B129="",$D129="",$F129="",$G129="",$H129="",$L129=""),"",IF($B129=TIPO_SERVICIO,IF($I129="","",$I129),PREFIJO_REC&amp;TEXT(SUMPRODUCT(($B$2:$B129&lt;&gt;TIPO_SERVICIO)*($B$2:$B129&lt;&gt;"")*($D$2:$D129&lt;&gt;"")*($F$2:$F129&lt;&gt;"")*($G$2:$G129&lt;&gt;"")*($H$2:$H129&lt;&gt;"")*($L$2:$L129&lt;&gt;"")),"0000")))</f>
        <v/>
      </c>
      <c r="B129" s="14"/>
      <c r="C129" s="10" t="str">
        <f t="shared" si="3"/>
        <v/>
      </c>
      <c r="D129" s="14"/>
      <c r="E129" s="14"/>
      <c r="F129" s="14"/>
      <c r="G129" s="15"/>
      <c r="H129" s="16"/>
      <c r="I129" s="14"/>
      <c r="J129" s="14"/>
      <c r="K129" s="10" t="str">
        <f>IF($J129="","",IFERROR(INDEX(PROV_NOM,MATCH($J129,PROV_COD,0)),""))</f>
        <v/>
      </c>
      <c r="L129" s="11" t="s">
        <v>35</v>
      </c>
    </row>
    <row r="130" spans="1:12" x14ac:dyDescent="0.25">
      <c r="A130" s="10" t="str">
        <f>IF(OR($B130="",$D130="",$F130="",$G130="",$H130="",$L130=""),"",IF($B130=TIPO_SERVICIO,IF($I130="","",$I130),PREFIJO_REC&amp;TEXT(SUMPRODUCT(($B$2:$B130&lt;&gt;TIPO_SERVICIO)*($B$2:$B130&lt;&gt;"")*($D$2:$D130&lt;&gt;"")*($F$2:$F130&lt;&gt;"")*($G$2:$G130&lt;&gt;"")*($H$2:$H130&lt;&gt;"")*($L$2:$L130&lt;&gt;"")),"0000")))</f>
        <v/>
      </c>
      <c r="B130" s="14"/>
      <c r="C130" s="10" t="str">
        <f t="shared" ref="C130:C161" si="4">IF($B130="","",IFERROR(INDEX(TREC_CLASE,MATCH($B130,TREC_NOMBRE,0)),""))</f>
        <v/>
      </c>
      <c r="D130" s="14"/>
      <c r="E130" s="14"/>
      <c r="F130" s="14"/>
      <c r="G130" s="15"/>
      <c r="H130" s="16"/>
      <c r="I130" s="14"/>
      <c r="J130" s="14"/>
      <c r="K130" s="10" t="str">
        <f>IF($J130="","",IFERROR(INDEX(PROV_NOM,MATCH($J130,PROV_COD,0)),""))</f>
        <v/>
      </c>
      <c r="L130" s="11" t="s">
        <v>35</v>
      </c>
    </row>
    <row r="131" spans="1:12" x14ac:dyDescent="0.25">
      <c r="A131" s="10" t="str">
        <f>IF(OR($B131="",$D131="",$F131="",$G131="",$H131="",$L131=""),"",IF($B131=TIPO_SERVICIO,IF($I131="","",$I131),PREFIJO_REC&amp;TEXT(SUMPRODUCT(($B$2:$B131&lt;&gt;TIPO_SERVICIO)*($B$2:$B131&lt;&gt;"")*($D$2:$D131&lt;&gt;"")*($F$2:$F131&lt;&gt;"")*($G$2:$G131&lt;&gt;"")*($H$2:$H131&lt;&gt;"")*($L$2:$L131&lt;&gt;"")),"0000")))</f>
        <v/>
      </c>
      <c r="B131" s="14"/>
      <c r="C131" s="10" t="str">
        <f t="shared" si="4"/>
        <v/>
      </c>
      <c r="D131" s="14"/>
      <c r="E131" s="14"/>
      <c r="F131" s="14"/>
      <c r="G131" s="15"/>
      <c r="H131" s="16"/>
      <c r="I131" s="14"/>
      <c r="J131" s="14"/>
      <c r="K131" s="10" t="str">
        <f>IF($J131="","",IFERROR(INDEX(PROV_NOM,MATCH($J131,PROV_COD,0)),""))</f>
        <v/>
      </c>
      <c r="L131" s="11" t="s">
        <v>35</v>
      </c>
    </row>
    <row r="132" spans="1:12" x14ac:dyDescent="0.25">
      <c r="A132" s="10" t="str">
        <f>IF(OR($B132="",$D132="",$F132="",$G132="",$H132="",$L132=""),"",IF($B132=TIPO_SERVICIO,IF($I132="","",$I132),PREFIJO_REC&amp;TEXT(SUMPRODUCT(($B$2:$B132&lt;&gt;TIPO_SERVICIO)*($B$2:$B132&lt;&gt;"")*($D$2:$D132&lt;&gt;"")*($F$2:$F132&lt;&gt;"")*($G$2:$G132&lt;&gt;"")*($H$2:$H132&lt;&gt;"")*($L$2:$L132&lt;&gt;"")),"0000")))</f>
        <v/>
      </c>
      <c r="B132" s="14"/>
      <c r="C132" s="10" t="str">
        <f t="shared" si="4"/>
        <v/>
      </c>
      <c r="D132" s="14"/>
      <c r="E132" s="14"/>
      <c r="F132" s="14"/>
      <c r="G132" s="15"/>
      <c r="H132" s="16"/>
      <c r="I132" s="14"/>
      <c r="J132" s="14"/>
      <c r="K132" s="10" t="str">
        <f>IF($J132="","",IFERROR(INDEX(PROV_NOM,MATCH($J132,PROV_COD,0)),""))</f>
        <v/>
      </c>
      <c r="L132" s="11" t="s">
        <v>35</v>
      </c>
    </row>
    <row r="133" spans="1:12" x14ac:dyDescent="0.25">
      <c r="A133" s="10" t="str">
        <f>IF(OR($B133="",$D133="",$F133="",$G133="",$H133="",$L133=""),"",IF($B133=TIPO_SERVICIO,IF($I133="","",$I133),PREFIJO_REC&amp;TEXT(SUMPRODUCT(($B$2:$B133&lt;&gt;TIPO_SERVICIO)*($B$2:$B133&lt;&gt;"")*($D$2:$D133&lt;&gt;"")*($F$2:$F133&lt;&gt;"")*($G$2:$G133&lt;&gt;"")*($H$2:$H133&lt;&gt;"")*($L$2:$L133&lt;&gt;"")),"0000")))</f>
        <v/>
      </c>
      <c r="B133" s="14"/>
      <c r="C133" s="10" t="str">
        <f t="shared" si="4"/>
        <v/>
      </c>
      <c r="D133" s="14"/>
      <c r="E133" s="14"/>
      <c r="F133" s="14"/>
      <c r="G133" s="15"/>
      <c r="H133" s="16"/>
      <c r="I133" s="14"/>
      <c r="J133" s="14"/>
      <c r="K133" s="10" t="str">
        <f>IF($J133="","",IFERROR(INDEX(PROV_NOM,MATCH($J133,PROV_COD,0)),""))</f>
        <v/>
      </c>
      <c r="L133" s="11" t="s">
        <v>35</v>
      </c>
    </row>
    <row r="134" spans="1:12" x14ac:dyDescent="0.25">
      <c r="A134" s="10" t="str">
        <f>IF(OR($B134="",$D134="",$F134="",$G134="",$H134="",$L134=""),"",IF($B134=TIPO_SERVICIO,IF($I134="","",$I134),PREFIJO_REC&amp;TEXT(SUMPRODUCT(($B$2:$B134&lt;&gt;TIPO_SERVICIO)*($B$2:$B134&lt;&gt;"")*($D$2:$D134&lt;&gt;"")*($F$2:$F134&lt;&gt;"")*($G$2:$G134&lt;&gt;"")*($H$2:$H134&lt;&gt;"")*($L$2:$L134&lt;&gt;"")),"0000")))</f>
        <v/>
      </c>
      <c r="B134" s="14"/>
      <c r="C134" s="10" t="str">
        <f t="shared" si="4"/>
        <v/>
      </c>
      <c r="D134" s="14"/>
      <c r="E134" s="14"/>
      <c r="F134" s="14"/>
      <c r="G134" s="15"/>
      <c r="H134" s="16"/>
      <c r="I134" s="14"/>
      <c r="J134" s="14"/>
      <c r="K134" s="10" t="str">
        <f>IF($J134="","",IFERROR(INDEX(PROV_NOM,MATCH($J134,PROV_COD,0)),""))</f>
        <v/>
      </c>
      <c r="L134" s="11" t="s">
        <v>35</v>
      </c>
    </row>
    <row r="135" spans="1:12" x14ac:dyDescent="0.25">
      <c r="A135" s="10" t="str">
        <f>IF(OR($B135="",$D135="",$F135="",$G135="",$H135="",$L135=""),"",IF($B135=TIPO_SERVICIO,IF($I135="","",$I135),PREFIJO_REC&amp;TEXT(SUMPRODUCT(($B$2:$B135&lt;&gt;TIPO_SERVICIO)*($B$2:$B135&lt;&gt;"")*($D$2:$D135&lt;&gt;"")*($F$2:$F135&lt;&gt;"")*($G$2:$G135&lt;&gt;"")*($H$2:$H135&lt;&gt;"")*($L$2:$L135&lt;&gt;"")),"0000")))</f>
        <v/>
      </c>
      <c r="B135" s="14"/>
      <c r="C135" s="10" t="str">
        <f t="shared" si="4"/>
        <v/>
      </c>
      <c r="D135" s="14"/>
      <c r="E135" s="14"/>
      <c r="F135" s="14"/>
      <c r="G135" s="15"/>
      <c r="H135" s="16"/>
      <c r="I135" s="14"/>
      <c r="J135" s="14"/>
      <c r="K135" s="10" t="str">
        <f>IF($J135="","",IFERROR(INDEX(PROV_NOM,MATCH($J135,PROV_COD,0)),""))</f>
        <v/>
      </c>
      <c r="L135" s="11" t="s">
        <v>35</v>
      </c>
    </row>
    <row r="136" spans="1:12" x14ac:dyDescent="0.25">
      <c r="A136" s="10" t="str">
        <f>IF(OR($B136="",$D136="",$F136="",$G136="",$H136="",$L136=""),"",IF($B136=TIPO_SERVICIO,IF($I136="","",$I136),PREFIJO_REC&amp;TEXT(SUMPRODUCT(($B$2:$B136&lt;&gt;TIPO_SERVICIO)*($B$2:$B136&lt;&gt;"")*($D$2:$D136&lt;&gt;"")*($F$2:$F136&lt;&gt;"")*($G$2:$G136&lt;&gt;"")*($H$2:$H136&lt;&gt;"")*($L$2:$L136&lt;&gt;"")),"0000")))</f>
        <v/>
      </c>
      <c r="B136" s="14"/>
      <c r="C136" s="10" t="str">
        <f t="shared" si="4"/>
        <v/>
      </c>
      <c r="D136" s="14"/>
      <c r="E136" s="14"/>
      <c r="F136" s="14"/>
      <c r="G136" s="15"/>
      <c r="H136" s="16"/>
      <c r="I136" s="14"/>
      <c r="J136" s="14"/>
      <c r="K136" s="10" t="str">
        <f>IF($J136="","",IFERROR(INDEX(PROV_NOM,MATCH($J136,PROV_COD,0)),""))</f>
        <v/>
      </c>
      <c r="L136" s="11" t="s">
        <v>35</v>
      </c>
    </row>
    <row r="137" spans="1:12" x14ac:dyDescent="0.25">
      <c r="A137" s="10" t="str">
        <f>IF(OR($B137="",$D137="",$F137="",$G137="",$H137="",$L137=""),"",IF($B137=TIPO_SERVICIO,IF($I137="","",$I137),PREFIJO_REC&amp;TEXT(SUMPRODUCT(($B$2:$B137&lt;&gt;TIPO_SERVICIO)*($B$2:$B137&lt;&gt;"")*($D$2:$D137&lt;&gt;"")*($F$2:$F137&lt;&gt;"")*($G$2:$G137&lt;&gt;"")*($H$2:$H137&lt;&gt;"")*($L$2:$L137&lt;&gt;"")),"0000")))</f>
        <v/>
      </c>
      <c r="B137" s="14"/>
      <c r="C137" s="10" t="str">
        <f t="shared" si="4"/>
        <v/>
      </c>
      <c r="D137" s="14"/>
      <c r="E137" s="14"/>
      <c r="F137" s="14"/>
      <c r="G137" s="15"/>
      <c r="H137" s="16"/>
      <c r="I137" s="14"/>
      <c r="J137" s="14"/>
      <c r="K137" s="10" t="str">
        <f>IF($J137="","",IFERROR(INDEX(PROV_NOM,MATCH($J137,PROV_COD,0)),""))</f>
        <v/>
      </c>
      <c r="L137" s="11" t="s">
        <v>35</v>
      </c>
    </row>
    <row r="138" spans="1:12" x14ac:dyDescent="0.25">
      <c r="A138" s="10" t="str">
        <f>IF(OR($B138="",$D138="",$F138="",$G138="",$H138="",$L138=""),"",IF($B138=TIPO_SERVICIO,IF($I138="","",$I138),PREFIJO_REC&amp;TEXT(SUMPRODUCT(($B$2:$B138&lt;&gt;TIPO_SERVICIO)*($B$2:$B138&lt;&gt;"")*($D$2:$D138&lt;&gt;"")*($F$2:$F138&lt;&gt;"")*($G$2:$G138&lt;&gt;"")*($H$2:$H138&lt;&gt;"")*($L$2:$L138&lt;&gt;"")),"0000")))</f>
        <v/>
      </c>
      <c r="B138" s="14"/>
      <c r="C138" s="10" t="str">
        <f t="shared" si="4"/>
        <v/>
      </c>
      <c r="D138" s="14"/>
      <c r="E138" s="14"/>
      <c r="F138" s="14"/>
      <c r="G138" s="15"/>
      <c r="H138" s="16"/>
      <c r="I138" s="14"/>
      <c r="J138" s="14"/>
      <c r="K138" s="10" t="str">
        <f>IF($J138="","",IFERROR(INDEX(PROV_NOM,MATCH($J138,PROV_COD,0)),""))</f>
        <v/>
      </c>
      <c r="L138" s="11" t="s">
        <v>35</v>
      </c>
    </row>
    <row r="139" spans="1:12" x14ac:dyDescent="0.25">
      <c r="A139" s="10" t="str">
        <f>IF(OR($B139="",$D139="",$F139="",$G139="",$H139="",$L139=""),"",IF($B139=TIPO_SERVICIO,IF($I139="","",$I139),PREFIJO_REC&amp;TEXT(SUMPRODUCT(($B$2:$B139&lt;&gt;TIPO_SERVICIO)*($B$2:$B139&lt;&gt;"")*($D$2:$D139&lt;&gt;"")*($F$2:$F139&lt;&gt;"")*($G$2:$G139&lt;&gt;"")*($H$2:$H139&lt;&gt;"")*($L$2:$L139&lt;&gt;"")),"0000")))</f>
        <v/>
      </c>
      <c r="B139" s="14"/>
      <c r="C139" s="10" t="str">
        <f t="shared" si="4"/>
        <v/>
      </c>
      <c r="D139" s="14"/>
      <c r="E139" s="14"/>
      <c r="F139" s="14"/>
      <c r="G139" s="15"/>
      <c r="H139" s="16"/>
      <c r="I139" s="14"/>
      <c r="J139" s="14"/>
      <c r="K139" s="10" t="str">
        <f>IF($J139="","",IFERROR(INDEX(PROV_NOM,MATCH($J139,PROV_COD,0)),""))</f>
        <v/>
      </c>
      <c r="L139" s="11" t="s">
        <v>35</v>
      </c>
    </row>
    <row r="140" spans="1:12" x14ac:dyDescent="0.25">
      <c r="A140" s="10" t="str">
        <f>IF(OR($B140="",$D140="",$F140="",$G140="",$H140="",$L140=""),"",IF($B140=TIPO_SERVICIO,IF($I140="","",$I140),PREFIJO_REC&amp;TEXT(SUMPRODUCT(($B$2:$B140&lt;&gt;TIPO_SERVICIO)*($B$2:$B140&lt;&gt;"")*($D$2:$D140&lt;&gt;"")*($F$2:$F140&lt;&gt;"")*($G$2:$G140&lt;&gt;"")*($H$2:$H140&lt;&gt;"")*($L$2:$L140&lt;&gt;"")),"0000")))</f>
        <v/>
      </c>
      <c r="B140" s="14"/>
      <c r="C140" s="10" t="str">
        <f t="shared" si="4"/>
        <v/>
      </c>
      <c r="D140" s="14"/>
      <c r="E140" s="14"/>
      <c r="F140" s="14"/>
      <c r="G140" s="15"/>
      <c r="H140" s="16"/>
      <c r="I140" s="14"/>
      <c r="J140" s="14"/>
      <c r="K140" s="10" t="str">
        <f>IF($J140="","",IFERROR(INDEX(PROV_NOM,MATCH($J140,PROV_COD,0)),""))</f>
        <v/>
      </c>
      <c r="L140" s="11" t="s">
        <v>35</v>
      </c>
    </row>
    <row r="141" spans="1:12" x14ac:dyDescent="0.25">
      <c r="A141" s="10" t="str">
        <f>IF(OR($B141="",$D141="",$F141="",$G141="",$H141="",$L141=""),"",IF($B141=TIPO_SERVICIO,IF($I141="","",$I141),PREFIJO_REC&amp;TEXT(SUMPRODUCT(($B$2:$B141&lt;&gt;TIPO_SERVICIO)*($B$2:$B141&lt;&gt;"")*($D$2:$D141&lt;&gt;"")*($F$2:$F141&lt;&gt;"")*($G$2:$G141&lt;&gt;"")*($H$2:$H141&lt;&gt;"")*($L$2:$L141&lt;&gt;"")),"0000")))</f>
        <v/>
      </c>
      <c r="B141" s="14"/>
      <c r="C141" s="10" t="str">
        <f t="shared" si="4"/>
        <v/>
      </c>
      <c r="D141" s="14"/>
      <c r="E141" s="14"/>
      <c r="F141" s="14"/>
      <c r="G141" s="15"/>
      <c r="H141" s="16"/>
      <c r="I141" s="14"/>
      <c r="J141" s="14"/>
      <c r="K141" s="10" t="str">
        <f>IF($J141="","",IFERROR(INDEX(PROV_NOM,MATCH($J141,PROV_COD,0)),""))</f>
        <v/>
      </c>
      <c r="L141" s="11" t="s">
        <v>35</v>
      </c>
    </row>
    <row r="142" spans="1:12" x14ac:dyDescent="0.25">
      <c r="A142" s="10" t="str">
        <f>IF(OR($B142="",$D142="",$F142="",$G142="",$H142="",$L142=""),"",IF($B142=TIPO_SERVICIO,IF($I142="","",$I142),PREFIJO_REC&amp;TEXT(SUMPRODUCT(($B$2:$B142&lt;&gt;TIPO_SERVICIO)*($B$2:$B142&lt;&gt;"")*($D$2:$D142&lt;&gt;"")*($F$2:$F142&lt;&gt;"")*($G$2:$G142&lt;&gt;"")*($H$2:$H142&lt;&gt;"")*($L$2:$L142&lt;&gt;"")),"0000")))</f>
        <v/>
      </c>
      <c r="B142" s="14"/>
      <c r="C142" s="10" t="str">
        <f t="shared" si="4"/>
        <v/>
      </c>
      <c r="D142" s="14"/>
      <c r="E142" s="14"/>
      <c r="F142" s="14"/>
      <c r="G142" s="15"/>
      <c r="H142" s="16"/>
      <c r="I142" s="14"/>
      <c r="J142" s="14"/>
      <c r="K142" s="10" t="str">
        <f>IF($J142="","",IFERROR(INDEX(PROV_NOM,MATCH($J142,PROV_COD,0)),""))</f>
        <v/>
      </c>
      <c r="L142" s="11" t="s">
        <v>35</v>
      </c>
    </row>
    <row r="143" spans="1:12" x14ac:dyDescent="0.25">
      <c r="A143" s="10" t="str">
        <f>IF(OR($B143="",$D143="",$F143="",$G143="",$H143="",$L143=""),"",IF($B143=TIPO_SERVICIO,IF($I143="","",$I143),PREFIJO_REC&amp;TEXT(SUMPRODUCT(($B$2:$B143&lt;&gt;TIPO_SERVICIO)*($B$2:$B143&lt;&gt;"")*($D$2:$D143&lt;&gt;"")*($F$2:$F143&lt;&gt;"")*($G$2:$G143&lt;&gt;"")*($H$2:$H143&lt;&gt;"")*($L$2:$L143&lt;&gt;"")),"0000")))</f>
        <v/>
      </c>
      <c r="B143" s="14"/>
      <c r="C143" s="10" t="str">
        <f t="shared" si="4"/>
        <v/>
      </c>
      <c r="D143" s="14"/>
      <c r="E143" s="14"/>
      <c r="F143" s="14"/>
      <c r="G143" s="15"/>
      <c r="H143" s="16"/>
      <c r="I143" s="14"/>
      <c r="J143" s="14"/>
      <c r="K143" s="10" t="str">
        <f>IF($J143="","",IFERROR(INDEX(PROV_NOM,MATCH($J143,PROV_COD,0)),""))</f>
        <v/>
      </c>
      <c r="L143" s="11" t="s">
        <v>35</v>
      </c>
    </row>
    <row r="144" spans="1:12" x14ac:dyDescent="0.25">
      <c r="A144" s="10" t="str">
        <f>IF(OR($B144="",$D144="",$F144="",$G144="",$H144="",$L144=""),"",IF($B144=TIPO_SERVICIO,IF($I144="","",$I144),PREFIJO_REC&amp;TEXT(SUMPRODUCT(($B$2:$B144&lt;&gt;TIPO_SERVICIO)*($B$2:$B144&lt;&gt;"")*($D$2:$D144&lt;&gt;"")*($F$2:$F144&lt;&gt;"")*($G$2:$G144&lt;&gt;"")*($H$2:$H144&lt;&gt;"")*($L$2:$L144&lt;&gt;"")),"0000")))</f>
        <v/>
      </c>
      <c r="B144" s="14"/>
      <c r="C144" s="10" t="str">
        <f t="shared" si="4"/>
        <v/>
      </c>
      <c r="D144" s="14"/>
      <c r="E144" s="14"/>
      <c r="F144" s="14"/>
      <c r="G144" s="15"/>
      <c r="H144" s="16"/>
      <c r="I144" s="14"/>
      <c r="J144" s="14"/>
      <c r="K144" s="10" t="str">
        <f>IF($J144="","",IFERROR(INDEX(PROV_NOM,MATCH($J144,PROV_COD,0)),""))</f>
        <v/>
      </c>
      <c r="L144" s="11" t="s">
        <v>35</v>
      </c>
    </row>
    <row r="145" spans="1:12" x14ac:dyDescent="0.25">
      <c r="A145" s="10" t="str">
        <f>IF(OR($B145="",$D145="",$F145="",$G145="",$H145="",$L145=""),"",IF($B145=TIPO_SERVICIO,IF($I145="","",$I145),PREFIJO_REC&amp;TEXT(SUMPRODUCT(($B$2:$B145&lt;&gt;TIPO_SERVICIO)*($B$2:$B145&lt;&gt;"")*($D$2:$D145&lt;&gt;"")*($F$2:$F145&lt;&gt;"")*($G$2:$G145&lt;&gt;"")*($H$2:$H145&lt;&gt;"")*($L$2:$L145&lt;&gt;"")),"0000")))</f>
        <v/>
      </c>
      <c r="B145" s="14"/>
      <c r="C145" s="10" t="str">
        <f t="shared" si="4"/>
        <v/>
      </c>
      <c r="D145" s="14"/>
      <c r="E145" s="14"/>
      <c r="F145" s="14"/>
      <c r="G145" s="15"/>
      <c r="H145" s="16"/>
      <c r="I145" s="14"/>
      <c r="J145" s="14"/>
      <c r="K145" s="10" t="str">
        <f>IF($J145="","",IFERROR(INDEX(PROV_NOM,MATCH($J145,PROV_COD,0)),""))</f>
        <v/>
      </c>
      <c r="L145" s="11" t="s">
        <v>35</v>
      </c>
    </row>
    <row r="146" spans="1:12" x14ac:dyDescent="0.25">
      <c r="A146" s="10" t="str">
        <f>IF(OR($B146="",$D146="",$F146="",$G146="",$H146="",$L146=""),"",IF($B146=TIPO_SERVICIO,IF($I146="","",$I146),PREFIJO_REC&amp;TEXT(SUMPRODUCT(($B$2:$B146&lt;&gt;TIPO_SERVICIO)*($B$2:$B146&lt;&gt;"")*($D$2:$D146&lt;&gt;"")*($F$2:$F146&lt;&gt;"")*($G$2:$G146&lt;&gt;"")*($H$2:$H146&lt;&gt;"")*($L$2:$L146&lt;&gt;"")),"0000")))</f>
        <v/>
      </c>
      <c r="B146" s="14"/>
      <c r="C146" s="10" t="str">
        <f t="shared" si="4"/>
        <v/>
      </c>
      <c r="D146" s="14"/>
      <c r="E146" s="14"/>
      <c r="F146" s="14"/>
      <c r="G146" s="15"/>
      <c r="H146" s="16"/>
      <c r="I146" s="14"/>
      <c r="J146" s="14"/>
      <c r="K146" s="10" t="str">
        <f>IF($J146="","",IFERROR(INDEX(PROV_NOM,MATCH($J146,PROV_COD,0)),""))</f>
        <v/>
      </c>
      <c r="L146" s="11" t="s">
        <v>35</v>
      </c>
    </row>
    <row r="147" spans="1:12" x14ac:dyDescent="0.25">
      <c r="A147" s="10" t="str">
        <f>IF(OR($B147="",$D147="",$F147="",$G147="",$H147="",$L147=""),"",IF($B147=TIPO_SERVICIO,IF($I147="","",$I147),PREFIJO_REC&amp;TEXT(SUMPRODUCT(($B$2:$B147&lt;&gt;TIPO_SERVICIO)*($B$2:$B147&lt;&gt;"")*($D$2:$D147&lt;&gt;"")*($F$2:$F147&lt;&gt;"")*($G$2:$G147&lt;&gt;"")*($H$2:$H147&lt;&gt;"")*($L$2:$L147&lt;&gt;"")),"0000")))</f>
        <v/>
      </c>
      <c r="B147" s="14"/>
      <c r="C147" s="10" t="str">
        <f t="shared" si="4"/>
        <v/>
      </c>
      <c r="D147" s="14"/>
      <c r="E147" s="14"/>
      <c r="F147" s="14"/>
      <c r="G147" s="15"/>
      <c r="H147" s="16"/>
      <c r="I147" s="14"/>
      <c r="J147" s="14"/>
      <c r="K147" s="10" t="str">
        <f>IF($J147="","",IFERROR(INDEX(PROV_NOM,MATCH($J147,PROV_COD,0)),""))</f>
        <v/>
      </c>
      <c r="L147" s="11" t="s">
        <v>35</v>
      </c>
    </row>
    <row r="148" spans="1:12" x14ac:dyDescent="0.25">
      <c r="A148" s="10" t="str">
        <f>IF(OR($B148="",$D148="",$F148="",$G148="",$H148="",$L148=""),"",IF($B148=TIPO_SERVICIO,IF($I148="","",$I148),PREFIJO_REC&amp;TEXT(SUMPRODUCT(($B$2:$B148&lt;&gt;TIPO_SERVICIO)*($B$2:$B148&lt;&gt;"")*($D$2:$D148&lt;&gt;"")*($F$2:$F148&lt;&gt;"")*($G$2:$G148&lt;&gt;"")*($H$2:$H148&lt;&gt;"")*($L$2:$L148&lt;&gt;"")),"0000")))</f>
        <v/>
      </c>
      <c r="B148" s="14"/>
      <c r="C148" s="10" t="str">
        <f t="shared" si="4"/>
        <v/>
      </c>
      <c r="D148" s="14"/>
      <c r="E148" s="14"/>
      <c r="F148" s="14"/>
      <c r="G148" s="15"/>
      <c r="H148" s="16"/>
      <c r="I148" s="14"/>
      <c r="J148" s="14"/>
      <c r="K148" s="10" t="str">
        <f>IF($J148="","",IFERROR(INDEX(PROV_NOM,MATCH($J148,PROV_COD,0)),""))</f>
        <v/>
      </c>
      <c r="L148" s="11" t="s">
        <v>35</v>
      </c>
    </row>
    <row r="149" spans="1:12" x14ac:dyDescent="0.25">
      <c r="A149" s="10" t="str">
        <f>IF(OR($B149="",$D149="",$F149="",$G149="",$H149="",$L149=""),"",IF($B149=TIPO_SERVICIO,IF($I149="","",$I149),PREFIJO_REC&amp;TEXT(SUMPRODUCT(($B$2:$B149&lt;&gt;TIPO_SERVICIO)*($B$2:$B149&lt;&gt;"")*($D$2:$D149&lt;&gt;"")*($F$2:$F149&lt;&gt;"")*($G$2:$G149&lt;&gt;"")*($H$2:$H149&lt;&gt;"")*($L$2:$L149&lt;&gt;"")),"0000")))</f>
        <v/>
      </c>
      <c r="B149" s="14"/>
      <c r="C149" s="10" t="str">
        <f t="shared" si="4"/>
        <v/>
      </c>
      <c r="D149" s="14"/>
      <c r="E149" s="14"/>
      <c r="F149" s="14"/>
      <c r="G149" s="15"/>
      <c r="H149" s="16"/>
      <c r="I149" s="14"/>
      <c r="J149" s="14"/>
      <c r="K149" s="10" t="str">
        <f>IF($J149="","",IFERROR(INDEX(PROV_NOM,MATCH($J149,PROV_COD,0)),""))</f>
        <v/>
      </c>
      <c r="L149" s="11" t="s">
        <v>35</v>
      </c>
    </row>
    <row r="150" spans="1:12" x14ac:dyDescent="0.25">
      <c r="A150" s="10" t="str">
        <f>IF(OR($B150="",$D150="",$F150="",$G150="",$H150="",$L150=""),"",IF($B150=TIPO_SERVICIO,IF($I150="","",$I150),PREFIJO_REC&amp;TEXT(SUMPRODUCT(($B$2:$B150&lt;&gt;TIPO_SERVICIO)*($B$2:$B150&lt;&gt;"")*($D$2:$D150&lt;&gt;"")*($F$2:$F150&lt;&gt;"")*($G$2:$G150&lt;&gt;"")*($H$2:$H150&lt;&gt;"")*($L$2:$L150&lt;&gt;"")),"0000")))</f>
        <v/>
      </c>
      <c r="B150" s="14"/>
      <c r="C150" s="10" t="str">
        <f t="shared" si="4"/>
        <v/>
      </c>
      <c r="D150" s="14"/>
      <c r="E150" s="14"/>
      <c r="F150" s="14"/>
      <c r="G150" s="15"/>
      <c r="H150" s="16"/>
      <c r="I150" s="14"/>
      <c r="J150" s="14"/>
      <c r="K150" s="10" t="str">
        <f>IF($J150="","",IFERROR(INDEX(PROV_NOM,MATCH($J150,PROV_COD,0)),""))</f>
        <v/>
      </c>
      <c r="L150" s="11" t="s">
        <v>35</v>
      </c>
    </row>
    <row r="151" spans="1:12" x14ac:dyDescent="0.25">
      <c r="A151" s="10" t="str">
        <f>IF(OR($B151="",$D151="",$F151="",$G151="",$H151="",$L151=""),"",IF($B151=TIPO_SERVICIO,IF($I151="","",$I151),PREFIJO_REC&amp;TEXT(SUMPRODUCT(($B$2:$B151&lt;&gt;TIPO_SERVICIO)*($B$2:$B151&lt;&gt;"")*($D$2:$D151&lt;&gt;"")*($F$2:$F151&lt;&gt;"")*($G$2:$G151&lt;&gt;"")*($H$2:$H151&lt;&gt;"")*($L$2:$L151&lt;&gt;"")),"0000")))</f>
        <v/>
      </c>
      <c r="B151" s="14"/>
      <c r="C151" s="10" t="str">
        <f t="shared" si="4"/>
        <v/>
      </c>
      <c r="D151" s="14"/>
      <c r="E151" s="14"/>
      <c r="F151" s="14"/>
      <c r="G151" s="15"/>
      <c r="H151" s="16"/>
      <c r="I151" s="14"/>
      <c r="J151" s="14"/>
      <c r="K151" s="10" t="str">
        <f>IF($J151="","",IFERROR(INDEX(PROV_NOM,MATCH($J151,PROV_COD,0)),""))</f>
        <v/>
      </c>
      <c r="L151" s="11" t="s">
        <v>35</v>
      </c>
    </row>
    <row r="152" spans="1:12" x14ac:dyDescent="0.25">
      <c r="A152" s="10" t="str">
        <f>IF(OR($B152="",$D152="",$F152="",$G152="",$H152="",$L152=""),"",IF($B152=TIPO_SERVICIO,IF($I152="","",$I152),PREFIJO_REC&amp;TEXT(SUMPRODUCT(($B$2:$B152&lt;&gt;TIPO_SERVICIO)*($B$2:$B152&lt;&gt;"")*($D$2:$D152&lt;&gt;"")*($F$2:$F152&lt;&gt;"")*($G$2:$G152&lt;&gt;"")*($H$2:$H152&lt;&gt;"")*($L$2:$L152&lt;&gt;"")),"0000")))</f>
        <v/>
      </c>
      <c r="B152" s="14"/>
      <c r="C152" s="10" t="str">
        <f t="shared" si="4"/>
        <v/>
      </c>
      <c r="D152" s="14"/>
      <c r="E152" s="14"/>
      <c r="F152" s="14"/>
      <c r="G152" s="15"/>
      <c r="H152" s="16"/>
      <c r="I152" s="14"/>
      <c r="J152" s="14"/>
      <c r="K152" s="10" t="str">
        <f>IF($J152="","",IFERROR(INDEX(PROV_NOM,MATCH($J152,PROV_COD,0)),""))</f>
        <v/>
      </c>
      <c r="L152" s="11" t="s">
        <v>35</v>
      </c>
    </row>
    <row r="153" spans="1:12" x14ac:dyDescent="0.25">
      <c r="A153" s="10" t="str">
        <f>IF(OR($B153="",$D153="",$F153="",$G153="",$H153="",$L153=""),"",IF($B153=TIPO_SERVICIO,IF($I153="","",$I153),PREFIJO_REC&amp;TEXT(SUMPRODUCT(($B$2:$B153&lt;&gt;TIPO_SERVICIO)*($B$2:$B153&lt;&gt;"")*($D$2:$D153&lt;&gt;"")*($F$2:$F153&lt;&gt;"")*($G$2:$G153&lt;&gt;"")*($H$2:$H153&lt;&gt;"")*($L$2:$L153&lt;&gt;"")),"0000")))</f>
        <v/>
      </c>
      <c r="B153" s="14"/>
      <c r="C153" s="10" t="str">
        <f t="shared" si="4"/>
        <v/>
      </c>
      <c r="D153" s="14"/>
      <c r="E153" s="14"/>
      <c r="F153" s="14"/>
      <c r="G153" s="15"/>
      <c r="H153" s="16"/>
      <c r="I153" s="14"/>
      <c r="J153" s="14"/>
      <c r="K153" s="10" t="str">
        <f>IF($J153="","",IFERROR(INDEX(PROV_NOM,MATCH($J153,PROV_COD,0)),""))</f>
        <v/>
      </c>
      <c r="L153" s="11" t="s">
        <v>35</v>
      </c>
    </row>
    <row r="154" spans="1:12" x14ac:dyDescent="0.25">
      <c r="A154" s="10" t="str">
        <f>IF(OR($B154="",$D154="",$F154="",$G154="",$H154="",$L154=""),"",IF($B154=TIPO_SERVICIO,IF($I154="","",$I154),PREFIJO_REC&amp;TEXT(SUMPRODUCT(($B$2:$B154&lt;&gt;TIPO_SERVICIO)*($B$2:$B154&lt;&gt;"")*($D$2:$D154&lt;&gt;"")*($F$2:$F154&lt;&gt;"")*($G$2:$G154&lt;&gt;"")*($H$2:$H154&lt;&gt;"")*($L$2:$L154&lt;&gt;"")),"0000")))</f>
        <v/>
      </c>
      <c r="B154" s="14"/>
      <c r="C154" s="10" t="str">
        <f t="shared" si="4"/>
        <v/>
      </c>
      <c r="D154" s="14"/>
      <c r="E154" s="14"/>
      <c r="F154" s="14"/>
      <c r="G154" s="15"/>
      <c r="H154" s="16"/>
      <c r="I154" s="14"/>
      <c r="J154" s="14"/>
      <c r="K154" s="10" t="str">
        <f>IF($J154="","",IFERROR(INDEX(PROV_NOM,MATCH($J154,PROV_COD,0)),""))</f>
        <v/>
      </c>
      <c r="L154" s="11" t="s">
        <v>35</v>
      </c>
    </row>
    <row r="155" spans="1:12" x14ac:dyDescent="0.25">
      <c r="A155" s="10" t="str">
        <f>IF(OR($B155="",$D155="",$F155="",$G155="",$H155="",$L155=""),"",IF($B155=TIPO_SERVICIO,IF($I155="","",$I155),PREFIJO_REC&amp;TEXT(SUMPRODUCT(($B$2:$B155&lt;&gt;TIPO_SERVICIO)*($B$2:$B155&lt;&gt;"")*($D$2:$D155&lt;&gt;"")*($F$2:$F155&lt;&gt;"")*($G$2:$G155&lt;&gt;"")*($H$2:$H155&lt;&gt;"")*($L$2:$L155&lt;&gt;"")),"0000")))</f>
        <v/>
      </c>
      <c r="B155" s="14"/>
      <c r="C155" s="10" t="str">
        <f t="shared" si="4"/>
        <v/>
      </c>
      <c r="D155" s="14"/>
      <c r="E155" s="14"/>
      <c r="F155" s="14"/>
      <c r="G155" s="15"/>
      <c r="H155" s="16"/>
      <c r="I155" s="14"/>
      <c r="J155" s="14"/>
      <c r="K155" s="10" t="str">
        <f>IF($J155="","",IFERROR(INDEX(PROV_NOM,MATCH($J155,PROV_COD,0)),""))</f>
        <v/>
      </c>
      <c r="L155" s="11" t="s">
        <v>35</v>
      </c>
    </row>
    <row r="156" spans="1:12" x14ac:dyDescent="0.25">
      <c r="A156" s="10" t="str">
        <f>IF(OR($B156="",$D156="",$F156="",$G156="",$H156="",$L156=""),"",IF($B156=TIPO_SERVICIO,IF($I156="","",$I156),PREFIJO_REC&amp;TEXT(SUMPRODUCT(($B$2:$B156&lt;&gt;TIPO_SERVICIO)*($B$2:$B156&lt;&gt;"")*($D$2:$D156&lt;&gt;"")*($F$2:$F156&lt;&gt;"")*($G$2:$G156&lt;&gt;"")*($H$2:$H156&lt;&gt;"")*($L$2:$L156&lt;&gt;"")),"0000")))</f>
        <v/>
      </c>
      <c r="B156" s="14"/>
      <c r="C156" s="10" t="str">
        <f t="shared" si="4"/>
        <v/>
      </c>
      <c r="D156" s="14"/>
      <c r="E156" s="14"/>
      <c r="F156" s="14"/>
      <c r="G156" s="15"/>
      <c r="H156" s="16"/>
      <c r="I156" s="14"/>
      <c r="J156" s="14"/>
      <c r="K156" s="10" t="str">
        <f>IF($J156="","",IFERROR(INDEX(PROV_NOM,MATCH($J156,PROV_COD,0)),""))</f>
        <v/>
      </c>
      <c r="L156" s="11" t="s">
        <v>35</v>
      </c>
    </row>
    <row r="157" spans="1:12" x14ac:dyDescent="0.25">
      <c r="A157" s="10" t="str">
        <f>IF(OR($B157="",$D157="",$F157="",$G157="",$H157="",$L157=""),"",IF($B157=TIPO_SERVICIO,IF($I157="","",$I157),PREFIJO_REC&amp;TEXT(SUMPRODUCT(($B$2:$B157&lt;&gt;TIPO_SERVICIO)*($B$2:$B157&lt;&gt;"")*($D$2:$D157&lt;&gt;"")*($F$2:$F157&lt;&gt;"")*($G$2:$G157&lt;&gt;"")*($H$2:$H157&lt;&gt;"")*($L$2:$L157&lt;&gt;"")),"0000")))</f>
        <v/>
      </c>
      <c r="B157" s="14"/>
      <c r="C157" s="10" t="str">
        <f t="shared" si="4"/>
        <v/>
      </c>
      <c r="D157" s="14"/>
      <c r="E157" s="14"/>
      <c r="F157" s="14"/>
      <c r="G157" s="15"/>
      <c r="H157" s="16"/>
      <c r="I157" s="14"/>
      <c r="J157" s="14"/>
      <c r="K157" s="10" t="str">
        <f>IF($J157="","",IFERROR(INDEX(PROV_NOM,MATCH($J157,PROV_COD,0)),""))</f>
        <v/>
      </c>
      <c r="L157" s="11" t="s">
        <v>35</v>
      </c>
    </row>
    <row r="158" spans="1:12" x14ac:dyDescent="0.25">
      <c r="A158" s="10" t="str">
        <f>IF(OR($B158="",$D158="",$F158="",$G158="",$H158="",$L158=""),"",IF($B158=TIPO_SERVICIO,IF($I158="","",$I158),PREFIJO_REC&amp;TEXT(SUMPRODUCT(($B$2:$B158&lt;&gt;TIPO_SERVICIO)*($B$2:$B158&lt;&gt;"")*($D$2:$D158&lt;&gt;"")*($F$2:$F158&lt;&gt;"")*($G$2:$G158&lt;&gt;"")*($H$2:$H158&lt;&gt;"")*($L$2:$L158&lt;&gt;"")),"0000")))</f>
        <v/>
      </c>
      <c r="B158" s="14"/>
      <c r="C158" s="10" t="str">
        <f t="shared" si="4"/>
        <v/>
      </c>
      <c r="D158" s="14"/>
      <c r="E158" s="14"/>
      <c r="F158" s="14"/>
      <c r="G158" s="15"/>
      <c r="H158" s="16"/>
      <c r="I158" s="14"/>
      <c r="J158" s="14"/>
      <c r="K158" s="10" t="str">
        <f>IF($J158="","",IFERROR(INDEX(PROV_NOM,MATCH($J158,PROV_COD,0)),""))</f>
        <v/>
      </c>
      <c r="L158" s="11" t="s">
        <v>35</v>
      </c>
    </row>
    <row r="159" spans="1:12" x14ac:dyDescent="0.25">
      <c r="A159" s="10" t="str">
        <f>IF(OR($B159="",$D159="",$F159="",$G159="",$H159="",$L159=""),"",IF($B159=TIPO_SERVICIO,IF($I159="","",$I159),PREFIJO_REC&amp;TEXT(SUMPRODUCT(($B$2:$B159&lt;&gt;TIPO_SERVICIO)*($B$2:$B159&lt;&gt;"")*($D$2:$D159&lt;&gt;"")*($F$2:$F159&lt;&gt;"")*($G$2:$G159&lt;&gt;"")*($H$2:$H159&lt;&gt;"")*($L$2:$L159&lt;&gt;"")),"0000")))</f>
        <v/>
      </c>
      <c r="B159" s="14"/>
      <c r="C159" s="10" t="str">
        <f t="shared" si="4"/>
        <v/>
      </c>
      <c r="D159" s="14"/>
      <c r="E159" s="14"/>
      <c r="F159" s="14"/>
      <c r="G159" s="15"/>
      <c r="H159" s="16"/>
      <c r="I159" s="14"/>
      <c r="J159" s="14"/>
      <c r="K159" s="10" t="str">
        <f>IF($J159="","",IFERROR(INDEX(PROV_NOM,MATCH($J159,PROV_COD,0)),""))</f>
        <v/>
      </c>
      <c r="L159" s="11" t="s">
        <v>35</v>
      </c>
    </row>
    <row r="160" spans="1:12" x14ac:dyDescent="0.25">
      <c r="A160" s="10" t="str">
        <f>IF(OR($B160="",$D160="",$F160="",$G160="",$H160="",$L160=""),"",IF($B160=TIPO_SERVICIO,IF($I160="","",$I160),PREFIJO_REC&amp;TEXT(SUMPRODUCT(($B$2:$B160&lt;&gt;TIPO_SERVICIO)*($B$2:$B160&lt;&gt;"")*($D$2:$D160&lt;&gt;"")*($F$2:$F160&lt;&gt;"")*($G$2:$G160&lt;&gt;"")*($H$2:$H160&lt;&gt;"")*($L$2:$L160&lt;&gt;"")),"0000")))</f>
        <v/>
      </c>
      <c r="B160" s="14"/>
      <c r="C160" s="10" t="str">
        <f t="shared" si="4"/>
        <v/>
      </c>
      <c r="D160" s="14"/>
      <c r="E160" s="14"/>
      <c r="F160" s="14"/>
      <c r="G160" s="15"/>
      <c r="H160" s="16"/>
      <c r="I160" s="14"/>
      <c r="J160" s="14"/>
      <c r="K160" s="10" t="str">
        <f>IF($J160="","",IFERROR(INDEX(PROV_NOM,MATCH($J160,PROV_COD,0)),""))</f>
        <v/>
      </c>
      <c r="L160" s="11" t="s">
        <v>35</v>
      </c>
    </row>
    <row r="161" spans="1:12" x14ac:dyDescent="0.25">
      <c r="A161" s="10" t="str">
        <f>IF(OR($B161="",$D161="",$F161="",$G161="",$H161="",$L161=""),"",IF($B161=TIPO_SERVICIO,IF($I161="","",$I161),PREFIJO_REC&amp;TEXT(SUMPRODUCT(($B$2:$B161&lt;&gt;TIPO_SERVICIO)*($B$2:$B161&lt;&gt;"")*($D$2:$D161&lt;&gt;"")*($F$2:$F161&lt;&gt;"")*($G$2:$G161&lt;&gt;"")*($H$2:$H161&lt;&gt;"")*($L$2:$L161&lt;&gt;"")),"0000")))</f>
        <v/>
      </c>
      <c r="B161" s="14"/>
      <c r="C161" s="10" t="str">
        <f t="shared" si="4"/>
        <v/>
      </c>
      <c r="D161" s="14"/>
      <c r="E161" s="14"/>
      <c r="F161" s="14"/>
      <c r="G161" s="15"/>
      <c r="H161" s="16"/>
      <c r="I161" s="14"/>
      <c r="J161" s="14"/>
      <c r="K161" s="10" t="str">
        <f>IF($J161="","",IFERROR(INDEX(PROV_NOM,MATCH($J161,PROV_COD,0)),""))</f>
        <v/>
      </c>
      <c r="L161" s="11" t="s">
        <v>35</v>
      </c>
    </row>
    <row r="162" spans="1:12" x14ac:dyDescent="0.25">
      <c r="A162" s="10" t="str">
        <f>IF(OR($B162="",$D162="",$F162="",$G162="",$H162="",$L162=""),"",IF($B162=TIPO_SERVICIO,IF($I162="","",$I162),PREFIJO_REC&amp;TEXT(SUMPRODUCT(($B$2:$B162&lt;&gt;TIPO_SERVICIO)*($B$2:$B162&lt;&gt;"")*($D$2:$D162&lt;&gt;"")*($F$2:$F162&lt;&gt;"")*($G$2:$G162&lt;&gt;"")*($H$2:$H162&lt;&gt;"")*($L$2:$L162&lt;&gt;"")),"0000")))</f>
        <v/>
      </c>
      <c r="B162" s="14"/>
      <c r="C162" s="10" t="str">
        <f t="shared" ref="C162:C193" si="5">IF($B162="","",IFERROR(INDEX(TREC_CLASE,MATCH($B162,TREC_NOMBRE,0)),""))</f>
        <v/>
      </c>
      <c r="D162" s="14"/>
      <c r="E162" s="14"/>
      <c r="F162" s="14"/>
      <c r="G162" s="15"/>
      <c r="H162" s="16"/>
      <c r="I162" s="14"/>
      <c r="J162" s="14"/>
      <c r="K162" s="10" t="str">
        <f>IF($J162="","",IFERROR(INDEX(PROV_NOM,MATCH($J162,PROV_COD,0)),""))</f>
        <v/>
      </c>
      <c r="L162" s="11" t="s">
        <v>35</v>
      </c>
    </row>
    <row r="163" spans="1:12" x14ac:dyDescent="0.25">
      <c r="A163" s="10" t="str">
        <f>IF(OR($B163="",$D163="",$F163="",$G163="",$H163="",$L163=""),"",IF($B163=TIPO_SERVICIO,IF($I163="","",$I163),PREFIJO_REC&amp;TEXT(SUMPRODUCT(($B$2:$B163&lt;&gt;TIPO_SERVICIO)*($B$2:$B163&lt;&gt;"")*($D$2:$D163&lt;&gt;"")*($F$2:$F163&lt;&gt;"")*($G$2:$G163&lt;&gt;"")*($H$2:$H163&lt;&gt;"")*($L$2:$L163&lt;&gt;"")),"0000")))</f>
        <v/>
      </c>
      <c r="B163" s="14"/>
      <c r="C163" s="10" t="str">
        <f t="shared" si="5"/>
        <v/>
      </c>
      <c r="D163" s="14"/>
      <c r="E163" s="14"/>
      <c r="F163" s="14"/>
      <c r="G163" s="15"/>
      <c r="H163" s="16"/>
      <c r="I163" s="14"/>
      <c r="J163" s="14"/>
      <c r="K163" s="10" t="str">
        <f>IF($J163="","",IFERROR(INDEX(PROV_NOM,MATCH($J163,PROV_COD,0)),""))</f>
        <v/>
      </c>
      <c r="L163" s="11" t="s">
        <v>35</v>
      </c>
    </row>
    <row r="164" spans="1:12" x14ac:dyDescent="0.25">
      <c r="A164" s="10" t="str">
        <f>IF(OR($B164="",$D164="",$F164="",$G164="",$H164="",$L164=""),"",IF($B164=TIPO_SERVICIO,IF($I164="","",$I164),PREFIJO_REC&amp;TEXT(SUMPRODUCT(($B$2:$B164&lt;&gt;TIPO_SERVICIO)*($B$2:$B164&lt;&gt;"")*($D$2:$D164&lt;&gt;"")*($F$2:$F164&lt;&gt;"")*($G$2:$G164&lt;&gt;"")*($H$2:$H164&lt;&gt;"")*($L$2:$L164&lt;&gt;"")),"0000")))</f>
        <v/>
      </c>
      <c r="B164" s="14"/>
      <c r="C164" s="10" t="str">
        <f t="shared" si="5"/>
        <v/>
      </c>
      <c r="D164" s="14"/>
      <c r="E164" s="14"/>
      <c r="F164" s="14"/>
      <c r="G164" s="15"/>
      <c r="H164" s="16"/>
      <c r="I164" s="14"/>
      <c r="J164" s="14"/>
      <c r="K164" s="10" t="str">
        <f>IF($J164="","",IFERROR(INDEX(PROV_NOM,MATCH($J164,PROV_COD,0)),""))</f>
        <v/>
      </c>
      <c r="L164" s="11" t="s">
        <v>35</v>
      </c>
    </row>
    <row r="165" spans="1:12" x14ac:dyDescent="0.25">
      <c r="A165" s="10" t="str">
        <f>IF(OR($B165="",$D165="",$F165="",$G165="",$H165="",$L165=""),"",IF($B165=TIPO_SERVICIO,IF($I165="","",$I165),PREFIJO_REC&amp;TEXT(SUMPRODUCT(($B$2:$B165&lt;&gt;TIPO_SERVICIO)*($B$2:$B165&lt;&gt;"")*($D$2:$D165&lt;&gt;"")*($F$2:$F165&lt;&gt;"")*($G$2:$G165&lt;&gt;"")*($H$2:$H165&lt;&gt;"")*($L$2:$L165&lt;&gt;"")),"0000")))</f>
        <v/>
      </c>
      <c r="B165" s="14"/>
      <c r="C165" s="10" t="str">
        <f t="shared" si="5"/>
        <v/>
      </c>
      <c r="D165" s="14"/>
      <c r="E165" s="14"/>
      <c r="F165" s="14"/>
      <c r="G165" s="15"/>
      <c r="H165" s="16"/>
      <c r="I165" s="14"/>
      <c r="J165" s="14"/>
      <c r="K165" s="10" t="str">
        <f>IF($J165="","",IFERROR(INDEX(PROV_NOM,MATCH($J165,PROV_COD,0)),""))</f>
        <v/>
      </c>
      <c r="L165" s="11" t="s">
        <v>35</v>
      </c>
    </row>
    <row r="166" spans="1:12" x14ac:dyDescent="0.25">
      <c r="A166" s="10" t="str">
        <f>IF(OR($B166="",$D166="",$F166="",$G166="",$H166="",$L166=""),"",IF($B166=TIPO_SERVICIO,IF($I166="","",$I166),PREFIJO_REC&amp;TEXT(SUMPRODUCT(($B$2:$B166&lt;&gt;TIPO_SERVICIO)*($B$2:$B166&lt;&gt;"")*($D$2:$D166&lt;&gt;"")*($F$2:$F166&lt;&gt;"")*($G$2:$G166&lt;&gt;"")*($H$2:$H166&lt;&gt;"")*($L$2:$L166&lt;&gt;"")),"0000")))</f>
        <v/>
      </c>
      <c r="B166" s="14"/>
      <c r="C166" s="10" t="str">
        <f t="shared" si="5"/>
        <v/>
      </c>
      <c r="D166" s="14"/>
      <c r="E166" s="14"/>
      <c r="F166" s="14"/>
      <c r="G166" s="15"/>
      <c r="H166" s="16"/>
      <c r="I166" s="14"/>
      <c r="J166" s="14"/>
      <c r="K166" s="10" t="str">
        <f>IF($J166="","",IFERROR(INDEX(PROV_NOM,MATCH($J166,PROV_COD,0)),""))</f>
        <v/>
      </c>
      <c r="L166" s="11" t="s">
        <v>35</v>
      </c>
    </row>
    <row r="167" spans="1:12" x14ac:dyDescent="0.25">
      <c r="A167" s="10" t="str">
        <f>IF(OR($B167="",$D167="",$F167="",$G167="",$H167="",$L167=""),"",IF($B167=TIPO_SERVICIO,IF($I167="","",$I167),PREFIJO_REC&amp;TEXT(SUMPRODUCT(($B$2:$B167&lt;&gt;TIPO_SERVICIO)*($B$2:$B167&lt;&gt;"")*($D$2:$D167&lt;&gt;"")*($F$2:$F167&lt;&gt;"")*($G$2:$G167&lt;&gt;"")*($H$2:$H167&lt;&gt;"")*($L$2:$L167&lt;&gt;"")),"0000")))</f>
        <v/>
      </c>
      <c r="B167" s="14"/>
      <c r="C167" s="10" t="str">
        <f t="shared" si="5"/>
        <v/>
      </c>
      <c r="D167" s="14"/>
      <c r="E167" s="14"/>
      <c r="F167" s="14"/>
      <c r="G167" s="15"/>
      <c r="H167" s="16"/>
      <c r="I167" s="14"/>
      <c r="J167" s="14"/>
      <c r="K167" s="10" t="str">
        <f>IF($J167="","",IFERROR(INDEX(PROV_NOM,MATCH($J167,PROV_COD,0)),""))</f>
        <v/>
      </c>
      <c r="L167" s="11" t="s">
        <v>35</v>
      </c>
    </row>
    <row r="168" spans="1:12" x14ac:dyDescent="0.25">
      <c r="A168" s="10" t="str">
        <f>IF(OR($B168="",$D168="",$F168="",$G168="",$H168="",$L168=""),"",IF($B168=TIPO_SERVICIO,IF($I168="","",$I168),PREFIJO_REC&amp;TEXT(SUMPRODUCT(($B$2:$B168&lt;&gt;TIPO_SERVICIO)*($B$2:$B168&lt;&gt;"")*($D$2:$D168&lt;&gt;"")*($F$2:$F168&lt;&gt;"")*($G$2:$G168&lt;&gt;"")*($H$2:$H168&lt;&gt;"")*($L$2:$L168&lt;&gt;"")),"0000")))</f>
        <v/>
      </c>
      <c r="B168" s="14"/>
      <c r="C168" s="10" t="str">
        <f t="shared" si="5"/>
        <v/>
      </c>
      <c r="D168" s="14"/>
      <c r="E168" s="14"/>
      <c r="F168" s="14"/>
      <c r="G168" s="15"/>
      <c r="H168" s="16"/>
      <c r="I168" s="14"/>
      <c r="J168" s="14"/>
      <c r="K168" s="10" t="str">
        <f>IF($J168="","",IFERROR(INDEX(PROV_NOM,MATCH($J168,PROV_COD,0)),""))</f>
        <v/>
      </c>
      <c r="L168" s="11" t="s">
        <v>35</v>
      </c>
    </row>
    <row r="169" spans="1:12" x14ac:dyDescent="0.25">
      <c r="A169" s="10" t="str">
        <f>IF(OR($B169="",$D169="",$F169="",$G169="",$H169="",$L169=""),"",IF($B169=TIPO_SERVICIO,IF($I169="","",$I169),PREFIJO_REC&amp;TEXT(SUMPRODUCT(($B$2:$B169&lt;&gt;TIPO_SERVICIO)*($B$2:$B169&lt;&gt;"")*($D$2:$D169&lt;&gt;"")*($F$2:$F169&lt;&gt;"")*($G$2:$G169&lt;&gt;"")*($H$2:$H169&lt;&gt;"")*($L$2:$L169&lt;&gt;"")),"0000")))</f>
        <v/>
      </c>
      <c r="B169" s="14"/>
      <c r="C169" s="10" t="str">
        <f t="shared" si="5"/>
        <v/>
      </c>
      <c r="D169" s="14"/>
      <c r="E169" s="14"/>
      <c r="F169" s="14"/>
      <c r="G169" s="15"/>
      <c r="H169" s="16"/>
      <c r="I169" s="14"/>
      <c r="J169" s="14"/>
      <c r="K169" s="10" t="str">
        <f>IF($J169="","",IFERROR(INDEX(PROV_NOM,MATCH($J169,PROV_COD,0)),""))</f>
        <v/>
      </c>
      <c r="L169" s="11" t="s">
        <v>35</v>
      </c>
    </row>
    <row r="170" spans="1:12" x14ac:dyDescent="0.25">
      <c r="A170" s="10" t="str">
        <f>IF(OR($B170="",$D170="",$F170="",$G170="",$H170="",$L170=""),"",IF($B170=TIPO_SERVICIO,IF($I170="","",$I170),PREFIJO_REC&amp;TEXT(SUMPRODUCT(($B$2:$B170&lt;&gt;TIPO_SERVICIO)*($B$2:$B170&lt;&gt;"")*($D$2:$D170&lt;&gt;"")*($F$2:$F170&lt;&gt;"")*($G$2:$G170&lt;&gt;"")*($H$2:$H170&lt;&gt;"")*($L$2:$L170&lt;&gt;"")),"0000")))</f>
        <v/>
      </c>
      <c r="B170" s="14"/>
      <c r="C170" s="10" t="str">
        <f t="shared" si="5"/>
        <v/>
      </c>
      <c r="D170" s="14"/>
      <c r="E170" s="14"/>
      <c r="F170" s="14"/>
      <c r="G170" s="15"/>
      <c r="H170" s="16"/>
      <c r="I170" s="14"/>
      <c r="J170" s="14"/>
      <c r="K170" s="10" t="str">
        <f>IF($J170="","",IFERROR(INDEX(PROV_NOM,MATCH($J170,PROV_COD,0)),""))</f>
        <v/>
      </c>
      <c r="L170" s="11" t="s">
        <v>35</v>
      </c>
    </row>
    <row r="171" spans="1:12" x14ac:dyDescent="0.25">
      <c r="A171" s="10" t="str">
        <f>IF(OR($B171="",$D171="",$F171="",$G171="",$H171="",$L171=""),"",IF($B171=TIPO_SERVICIO,IF($I171="","",$I171),PREFIJO_REC&amp;TEXT(SUMPRODUCT(($B$2:$B171&lt;&gt;TIPO_SERVICIO)*($B$2:$B171&lt;&gt;"")*($D$2:$D171&lt;&gt;"")*($F$2:$F171&lt;&gt;"")*($G$2:$G171&lt;&gt;"")*($H$2:$H171&lt;&gt;"")*($L$2:$L171&lt;&gt;"")),"0000")))</f>
        <v/>
      </c>
      <c r="B171" s="14"/>
      <c r="C171" s="10" t="str">
        <f t="shared" si="5"/>
        <v/>
      </c>
      <c r="D171" s="14"/>
      <c r="E171" s="14"/>
      <c r="F171" s="14"/>
      <c r="G171" s="15"/>
      <c r="H171" s="16"/>
      <c r="I171" s="14"/>
      <c r="J171" s="14"/>
      <c r="K171" s="10" t="str">
        <f>IF($J171="","",IFERROR(INDEX(PROV_NOM,MATCH($J171,PROV_COD,0)),""))</f>
        <v/>
      </c>
      <c r="L171" s="11" t="s">
        <v>35</v>
      </c>
    </row>
    <row r="172" spans="1:12" x14ac:dyDescent="0.25">
      <c r="A172" s="10" t="str">
        <f>IF(OR($B172="",$D172="",$F172="",$G172="",$H172="",$L172=""),"",IF($B172=TIPO_SERVICIO,IF($I172="","",$I172),PREFIJO_REC&amp;TEXT(SUMPRODUCT(($B$2:$B172&lt;&gt;TIPO_SERVICIO)*($B$2:$B172&lt;&gt;"")*($D$2:$D172&lt;&gt;"")*($F$2:$F172&lt;&gt;"")*($G$2:$G172&lt;&gt;"")*($H$2:$H172&lt;&gt;"")*($L$2:$L172&lt;&gt;"")),"0000")))</f>
        <v/>
      </c>
      <c r="B172" s="14"/>
      <c r="C172" s="10" t="str">
        <f t="shared" si="5"/>
        <v/>
      </c>
      <c r="D172" s="14"/>
      <c r="E172" s="14"/>
      <c r="F172" s="14"/>
      <c r="G172" s="15"/>
      <c r="H172" s="16"/>
      <c r="I172" s="14"/>
      <c r="J172" s="14"/>
      <c r="K172" s="10" t="str">
        <f>IF($J172="","",IFERROR(INDEX(PROV_NOM,MATCH($J172,PROV_COD,0)),""))</f>
        <v/>
      </c>
      <c r="L172" s="11" t="s">
        <v>35</v>
      </c>
    </row>
    <row r="173" spans="1:12" x14ac:dyDescent="0.25">
      <c r="A173" s="10" t="str">
        <f>IF(OR($B173="",$D173="",$F173="",$G173="",$H173="",$L173=""),"",IF($B173=TIPO_SERVICIO,IF($I173="","",$I173),PREFIJO_REC&amp;TEXT(SUMPRODUCT(($B$2:$B173&lt;&gt;TIPO_SERVICIO)*($B$2:$B173&lt;&gt;"")*($D$2:$D173&lt;&gt;"")*($F$2:$F173&lt;&gt;"")*($G$2:$G173&lt;&gt;"")*($H$2:$H173&lt;&gt;"")*($L$2:$L173&lt;&gt;"")),"0000")))</f>
        <v/>
      </c>
      <c r="B173" s="14"/>
      <c r="C173" s="10" t="str">
        <f t="shared" si="5"/>
        <v/>
      </c>
      <c r="D173" s="14"/>
      <c r="E173" s="14"/>
      <c r="F173" s="14"/>
      <c r="G173" s="15"/>
      <c r="H173" s="16"/>
      <c r="I173" s="14"/>
      <c r="J173" s="14"/>
      <c r="K173" s="10" t="str">
        <f>IF($J173="","",IFERROR(INDEX(PROV_NOM,MATCH($J173,PROV_COD,0)),""))</f>
        <v/>
      </c>
      <c r="L173" s="11" t="s">
        <v>35</v>
      </c>
    </row>
    <row r="174" spans="1:12" x14ac:dyDescent="0.25">
      <c r="A174" s="10" t="str">
        <f>IF(OR($B174="",$D174="",$F174="",$G174="",$H174="",$L174=""),"",IF($B174=TIPO_SERVICIO,IF($I174="","",$I174),PREFIJO_REC&amp;TEXT(SUMPRODUCT(($B$2:$B174&lt;&gt;TIPO_SERVICIO)*($B$2:$B174&lt;&gt;"")*($D$2:$D174&lt;&gt;"")*($F$2:$F174&lt;&gt;"")*($G$2:$G174&lt;&gt;"")*($H$2:$H174&lt;&gt;"")*($L$2:$L174&lt;&gt;"")),"0000")))</f>
        <v/>
      </c>
      <c r="B174" s="14"/>
      <c r="C174" s="10" t="str">
        <f t="shared" si="5"/>
        <v/>
      </c>
      <c r="D174" s="14"/>
      <c r="E174" s="14"/>
      <c r="F174" s="14"/>
      <c r="G174" s="15"/>
      <c r="H174" s="16"/>
      <c r="I174" s="14"/>
      <c r="J174" s="14"/>
      <c r="K174" s="10" t="str">
        <f>IF($J174="","",IFERROR(INDEX(PROV_NOM,MATCH($J174,PROV_COD,0)),""))</f>
        <v/>
      </c>
      <c r="L174" s="11" t="s">
        <v>35</v>
      </c>
    </row>
    <row r="175" spans="1:12" x14ac:dyDescent="0.25">
      <c r="A175" s="10" t="str">
        <f>IF(OR($B175="",$D175="",$F175="",$G175="",$H175="",$L175=""),"",IF($B175=TIPO_SERVICIO,IF($I175="","",$I175),PREFIJO_REC&amp;TEXT(SUMPRODUCT(($B$2:$B175&lt;&gt;TIPO_SERVICIO)*($B$2:$B175&lt;&gt;"")*($D$2:$D175&lt;&gt;"")*($F$2:$F175&lt;&gt;"")*($G$2:$G175&lt;&gt;"")*($H$2:$H175&lt;&gt;"")*($L$2:$L175&lt;&gt;"")),"0000")))</f>
        <v/>
      </c>
      <c r="B175" s="14"/>
      <c r="C175" s="10" t="str">
        <f t="shared" si="5"/>
        <v/>
      </c>
      <c r="D175" s="14"/>
      <c r="E175" s="14"/>
      <c r="F175" s="14"/>
      <c r="G175" s="15"/>
      <c r="H175" s="16"/>
      <c r="I175" s="14"/>
      <c r="J175" s="14"/>
      <c r="K175" s="10" t="str">
        <f>IF($J175="","",IFERROR(INDEX(PROV_NOM,MATCH($J175,PROV_COD,0)),""))</f>
        <v/>
      </c>
      <c r="L175" s="11" t="s">
        <v>35</v>
      </c>
    </row>
    <row r="176" spans="1:12" x14ac:dyDescent="0.25">
      <c r="A176" s="10" t="str">
        <f>IF(OR($B176="",$D176="",$F176="",$G176="",$H176="",$L176=""),"",IF($B176=TIPO_SERVICIO,IF($I176="","",$I176),PREFIJO_REC&amp;TEXT(SUMPRODUCT(($B$2:$B176&lt;&gt;TIPO_SERVICIO)*($B$2:$B176&lt;&gt;"")*($D$2:$D176&lt;&gt;"")*($F$2:$F176&lt;&gt;"")*($G$2:$G176&lt;&gt;"")*($H$2:$H176&lt;&gt;"")*($L$2:$L176&lt;&gt;"")),"0000")))</f>
        <v/>
      </c>
      <c r="B176" s="14"/>
      <c r="C176" s="10" t="str">
        <f t="shared" si="5"/>
        <v/>
      </c>
      <c r="D176" s="14"/>
      <c r="E176" s="14"/>
      <c r="F176" s="14"/>
      <c r="G176" s="15"/>
      <c r="H176" s="16"/>
      <c r="I176" s="14"/>
      <c r="J176" s="14"/>
      <c r="K176" s="10" t="str">
        <f>IF($J176="","",IFERROR(INDEX(PROV_NOM,MATCH($J176,PROV_COD,0)),""))</f>
        <v/>
      </c>
      <c r="L176" s="11" t="s">
        <v>35</v>
      </c>
    </row>
    <row r="177" spans="1:12" x14ac:dyDescent="0.25">
      <c r="A177" s="10" t="str">
        <f>IF(OR($B177="",$D177="",$F177="",$G177="",$H177="",$L177=""),"",IF($B177=TIPO_SERVICIO,IF($I177="","",$I177),PREFIJO_REC&amp;TEXT(SUMPRODUCT(($B$2:$B177&lt;&gt;TIPO_SERVICIO)*($B$2:$B177&lt;&gt;"")*($D$2:$D177&lt;&gt;"")*($F$2:$F177&lt;&gt;"")*($G$2:$G177&lt;&gt;"")*($H$2:$H177&lt;&gt;"")*($L$2:$L177&lt;&gt;"")),"0000")))</f>
        <v/>
      </c>
      <c r="B177" s="14"/>
      <c r="C177" s="10" t="str">
        <f t="shared" si="5"/>
        <v/>
      </c>
      <c r="D177" s="14"/>
      <c r="E177" s="14"/>
      <c r="F177" s="14"/>
      <c r="G177" s="15"/>
      <c r="H177" s="16"/>
      <c r="I177" s="14"/>
      <c r="J177" s="14"/>
      <c r="K177" s="10" t="str">
        <f>IF($J177="","",IFERROR(INDEX(PROV_NOM,MATCH($J177,PROV_COD,0)),""))</f>
        <v/>
      </c>
      <c r="L177" s="11" t="s">
        <v>35</v>
      </c>
    </row>
    <row r="178" spans="1:12" x14ac:dyDescent="0.25">
      <c r="A178" s="10" t="str">
        <f>IF(OR($B178="",$D178="",$F178="",$G178="",$H178="",$L178=""),"",IF($B178=TIPO_SERVICIO,IF($I178="","",$I178),PREFIJO_REC&amp;TEXT(SUMPRODUCT(($B$2:$B178&lt;&gt;TIPO_SERVICIO)*($B$2:$B178&lt;&gt;"")*($D$2:$D178&lt;&gt;"")*($F$2:$F178&lt;&gt;"")*($G$2:$G178&lt;&gt;"")*($H$2:$H178&lt;&gt;"")*($L$2:$L178&lt;&gt;"")),"0000")))</f>
        <v/>
      </c>
      <c r="B178" s="14"/>
      <c r="C178" s="10" t="str">
        <f t="shared" si="5"/>
        <v/>
      </c>
      <c r="D178" s="14"/>
      <c r="E178" s="14"/>
      <c r="F178" s="14"/>
      <c r="G178" s="15"/>
      <c r="H178" s="16"/>
      <c r="I178" s="14"/>
      <c r="J178" s="14"/>
      <c r="K178" s="10" t="str">
        <f>IF($J178="","",IFERROR(INDEX(PROV_NOM,MATCH($J178,PROV_COD,0)),""))</f>
        <v/>
      </c>
      <c r="L178" s="11" t="s">
        <v>35</v>
      </c>
    </row>
    <row r="179" spans="1:12" x14ac:dyDescent="0.25">
      <c r="A179" s="10" t="str">
        <f>IF(OR($B179="",$D179="",$F179="",$G179="",$H179="",$L179=""),"",IF($B179=TIPO_SERVICIO,IF($I179="","",$I179),PREFIJO_REC&amp;TEXT(SUMPRODUCT(($B$2:$B179&lt;&gt;TIPO_SERVICIO)*($B$2:$B179&lt;&gt;"")*($D$2:$D179&lt;&gt;"")*($F$2:$F179&lt;&gt;"")*($G$2:$G179&lt;&gt;"")*($H$2:$H179&lt;&gt;"")*($L$2:$L179&lt;&gt;"")),"0000")))</f>
        <v/>
      </c>
      <c r="B179" s="14"/>
      <c r="C179" s="10" t="str">
        <f t="shared" si="5"/>
        <v/>
      </c>
      <c r="D179" s="14"/>
      <c r="E179" s="14"/>
      <c r="F179" s="14"/>
      <c r="G179" s="15"/>
      <c r="H179" s="16"/>
      <c r="I179" s="14"/>
      <c r="J179" s="14"/>
      <c r="K179" s="10" t="str">
        <f>IF($J179="","",IFERROR(INDEX(PROV_NOM,MATCH($J179,PROV_COD,0)),""))</f>
        <v/>
      </c>
      <c r="L179" s="11" t="s">
        <v>35</v>
      </c>
    </row>
    <row r="180" spans="1:12" x14ac:dyDescent="0.25">
      <c r="A180" s="10" t="str">
        <f>IF(OR($B180="",$D180="",$F180="",$G180="",$H180="",$L180=""),"",IF($B180=TIPO_SERVICIO,IF($I180="","",$I180),PREFIJO_REC&amp;TEXT(SUMPRODUCT(($B$2:$B180&lt;&gt;TIPO_SERVICIO)*($B$2:$B180&lt;&gt;"")*($D$2:$D180&lt;&gt;"")*($F$2:$F180&lt;&gt;"")*($G$2:$G180&lt;&gt;"")*($H$2:$H180&lt;&gt;"")*($L$2:$L180&lt;&gt;"")),"0000")))</f>
        <v/>
      </c>
      <c r="B180" s="14"/>
      <c r="C180" s="10" t="str">
        <f t="shared" si="5"/>
        <v/>
      </c>
      <c r="D180" s="14"/>
      <c r="E180" s="14"/>
      <c r="F180" s="14"/>
      <c r="G180" s="15"/>
      <c r="H180" s="16"/>
      <c r="I180" s="14"/>
      <c r="J180" s="14"/>
      <c r="K180" s="10" t="str">
        <f>IF($J180="","",IFERROR(INDEX(PROV_NOM,MATCH($J180,PROV_COD,0)),""))</f>
        <v/>
      </c>
      <c r="L180" s="11" t="s">
        <v>35</v>
      </c>
    </row>
    <row r="181" spans="1:12" x14ac:dyDescent="0.25">
      <c r="A181" s="10" t="str">
        <f>IF(OR($B181="",$D181="",$F181="",$G181="",$H181="",$L181=""),"",IF($B181=TIPO_SERVICIO,IF($I181="","",$I181),PREFIJO_REC&amp;TEXT(SUMPRODUCT(($B$2:$B181&lt;&gt;TIPO_SERVICIO)*($B$2:$B181&lt;&gt;"")*($D$2:$D181&lt;&gt;"")*($F$2:$F181&lt;&gt;"")*($G$2:$G181&lt;&gt;"")*($H$2:$H181&lt;&gt;"")*($L$2:$L181&lt;&gt;"")),"0000")))</f>
        <v/>
      </c>
      <c r="B181" s="14"/>
      <c r="C181" s="10" t="str">
        <f t="shared" si="5"/>
        <v/>
      </c>
      <c r="D181" s="14"/>
      <c r="E181" s="14"/>
      <c r="F181" s="14"/>
      <c r="G181" s="15"/>
      <c r="H181" s="16"/>
      <c r="I181" s="14"/>
      <c r="J181" s="14"/>
      <c r="K181" s="10" t="str">
        <f>IF($J181="","",IFERROR(INDEX(PROV_NOM,MATCH($J181,PROV_COD,0)),""))</f>
        <v/>
      </c>
      <c r="L181" s="11" t="s">
        <v>35</v>
      </c>
    </row>
    <row r="182" spans="1:12" x14ac:dyDescent="0.25">
      <c r="A182" s="10" t="str">
        <f>IF(OR($B182="",$D182="",$F182="",$G182="",$H182="",$L182=""),"",IF($B182=TIPO_SERVICIO,IF($I182="","",$I182),PREFIJO_REC&amp;TEXT(SUMPRODUCT(($B$2:$B182&lt;&gt;TIPO_SERVICIO)*($B$2:$B182&lt;&gt;"")*($D$2:$D182&lt;&gt;"")*($F$2:$F182&lt;&gt;"")*($G$2:$G182&lt;&gt;"")*($H$2:$H182&lt;&gt;"")*($L$2:$L182&lt;&gt;"")),"0000")))</f>
        <v/>
      </c>
      <c r="B182" s="14"/>
      <c r="C182" s="10" t="str">
        <f t="shared" si="5"/>
        <v/>
      </c>
      <c r="D182" s="14"/>
      <c r="E182" s="14"/>
      <c r="F182" s="14"/>
      <c r="G182" s="15"/>
      <c r="H182" s="16"/>
      <c r="I182" s="14"/>
      <c r="J182" s="14"/>
      <c r="K182" s="10" t="str">
        <f>IF($J182="","",IFERROR(INDEX(PROV_NOM,MATCH($J182,PROV_COD,0)),""))</f>
        <v/>
      </c>
      <c r="L182" s="11" t="s">
        <v>35</v>
      </c>
    </row>
    <row r="183" spans="1:12" x14ac:dyDescent="0.25">
      <c r="A183" s="10" t="str">
        <f>IF(OR($B183="",$D183="",$F183="",$G183="",$H183="",$L183=""),"",IF($B183=TIPO_SERVICIO,IF($I183="","",$I183),PREFIJO_REC&amp;TEXT(SUMPRODUCT(($B$2:$B183&lt;&gt;TIPO_SERVICIO)*($B$2:$B183&lt;&gt;"")*($D$2:$D183&lt;&gt;"")*($F$2:$F183&lt;&gt;"")*($G$2:$G183&lt;&gt;"")*($H$2:$H183&lt;&gt;"")*($L$2:$L183&lt;&gt;"")),"0000")))</f>
        <v/>
      </c>
      <c r="B183" s="14"/>
      <c r="C183" s="10" t="str">
        <f t="shared" si="5"/>
        <v/>
      </c>
      <c r="D183" s="14"/>
      <c r="E183" s="14"/>
      <c r="F183" s="14"/>
      <c r="G183" s="15"/>
      <c r="H183" s="16"/>
      <c r="I183" s="14"/>
      <c r="J183" s="14"/>
      <c r="K183" s="10" t="str">
        <f>IF($J183="","",IFERROR(INDEX(PROV_NOM,MATCH($J183,PROV_COD,0)),""))</f>
        <v/>
      </c>
      <c r="L183" s="11" t="s">
        <v>35</v>
      </c>
    </row>
    <row r="184" spans="1:12" x14ac:dyDescent="0.25">
      <c r="A184" s="10" t="str">
        <f>IF(OR($B184="",$D184="",$F184="",$G184="",$H184="",$L184=""),"",IF($B184=TIPO_SERVICIO,IF($I184="","",$I184),PREFIJO_REC&amp;TEXT(SUMPRODUCT(($B$2:$B184&lt;&gt;TIPO_SERVICIO)*($B$2:$B184&lt;&gt;"")*($D$2:$D184&lt;&gt;"")*($F$2:$F184&lt;&gt;"")*($G$2:$G184&lt;&gt;"")*($H$2:$H184&lt;&gt;"")*($L$2:$L184&lt;&gt;"")),"0000")))</f>
        <v/>
      </c>
      <c r="B184" s="14"/>
      <c r="C184" s="10" t="str">
        <f t="shared" si="5"/>
        <v/>
      </c>
      <c r="D184" s="14"/>
      <c r="E184" s="14"/>
      <c r="F184" s="14"/>
      <c r="G184" s="15"/>
      <c r="H184" s="16"/>
      <c r="I184" s="14"/>
      <c r="J184" s="14"/>
      <c r="K184" s="10" t="str">
        <f>IF($J184="","",IFERROR(INDEX(PROV_NOM,MATCH($J184,PROV_COD,0)),""))</f>
        <v/>
      </c>
      <c r="L184" s="11" t="s">
        <v>35</v>
      </c>
    </row>
    <row r="185" spans="1:12" x14ac:dyDescent="0.25">
      <c r="A185" s="10" t="str">
        <f>IF(OR($B185="",$D185="",$F185="",$G185="",$H185="",$L185=""),"",IF($B185=TIPO_SERVICIO,IF($I185="","",$I185),PREFIJO_REC&amp;TEXT(SUMPRODUCT(($B$2:$B185&lt;&gt;TIPO_SERVICIO)*($B$2:$B185&lt;&gt;"")*($D$2:$D185&lt;&gt;"")*($F$2:$F185&lt;&gt;"")*($G$2:$G185&lt;&gt;"")*($H$2:$H185&lt;&gt;"")*($L$2:$L185&lt;&gt;"")),"0000")))</f>
        <v/>
      </c>
      <c r="B185" s="14"/>
      <c r="C185" s="10" t="str">
        <f t="shared" si="5"/>
        <v/>
      </c>
      <c r="D185" s="14"/>
      <c r="E185" s="14"/>
      <c r="F185" s="14"/>
      <c r="G185" s="15"/>
      <c r="H185" s="16"/>
      <c r="I185" s="14"/>
      <c r="J185" s="14"/>
      <c r="K185" s="10" t="str">
        <f>IF($J185="","",IFERROR(INDEX(PROV_NOM,MATCH($J185,PROV_COD,0)),""))</f>
        <v/>
      </c>
      <c r="L185" s="11" t="s">
        <v>35</v>
      </c>
    </row>
    <row r="186" spans="1:12" x14ac:dyDescent="0.25">
      <c r="A186" s="10" t="str">
        <f>IF(OR($B186="",$D186="",$F186="",$G186="",$H186="",$L186=""),"",IF($B186=TIPO_SERVICIO,IF($I186="","",$I186),PREFIJO_REC&amp;TEXT(SUMPRODUCT(($B$2:$B186&lt;&gt;TIPO_SERVICIO)*($B$2:$B186&lt;&gt;"")*($D$2:$D186&lt;&gt;"")*($F$2:$F186&lt;&gt;"")*($G$2:$G186&lt;&gt;"")*($H$2:$H186&lt;&gt;"")*($L$2:$L186&lt;&gt;"")),"0000")))</f>
        <v/>
      </c>
      <c r="B186" s="14"/>
      <c r="C186" s="10" t="str">
        <f t="shared" si="5"/>
        <v/>
      </c>
      <c r="D186" s="14"/>
      <c r="E186" s="14"/>
      <c r="F186" s="14"/>
      <c r="G186" s="15"/>
      <c r="H186" s="16"/>
      <c r="I186" s="14"/>
      <c r="J186" s="14"/>
      <c r="K186" s="10" t="str">
        <f>IF($J186="","",IFERROR(INDEX(PROV_NOM,MATCH($J186,PROV_COD,0)),""))</f>
        <v/>
      </c>
      <c r="L186" s="11" t="s">
        <v>35</v>
      </c>
    </row>
    <row r="187" spans="1:12" x14ac:dyDescent="0.25">
      <c r="A187" s="10" t="str">
        <f>IF(OR($B187="",$D187="",$F187="",$G187="",$H187="",$L187=""),"",IF($B187=TIPO_SERVICIO,IF($I187="","",$I187),PREFIJO_REC&amp;TEXT(SUMPRODUCT(($B$2:$B187&lt;&gt;TIPO_SERVICIO)*($B$2:$B187&lt;&gt;"")*($D$2:$D187&lt;&gt;"")*($F$2:$F187&lt;&gt;"")*($G$2:$G187&lt;&gt;"")*($H$2:$H187&lt;&gt;"")*($L$2:$L187&lt;&gt;"")),"0000")))</f>
        <v/>
      </c>
      <c r="B187" s="14"/>
      <c r="C187" s="10" t="str">
        <f t="shared" si="5"/>
        <v/>
      </c>
      <c r="D187" s="14"/>
      <c r="E187" s="14"/>
      <c r="F187" s="14"/>
      <c r="G187" s="15"/>
      <c r="H187" s="16"/>
      <c r="I187" s="14"/>
      <c r="J187" s="14"/>
      <c r="K187" s="10" t="str">
        <f>IF($J187="","",IFERROR(INDEX(PROV_NOM,MATCH($J187,PROV_COD,0)),""))</f>
        <v/>
      </c>
      <c r="L187" s="11" t="s">
        <v>35</v>
      </c>
    </row>
    <row r="188" spans="1:12" x14ac:dyDescent="0.25">
      <c r="A188" s="10" t="str">
        <f>IF(OR($B188="",$D188="",$F188="",$G188="",$H188="",$L188=""),"",IF($B188=TIPO_SERVICIO,IF($I188="","",$I188),PREFIJO_REC&amp;TEXT(SUMPRODUCT(($B$2:$B188&lt;&gt;TIPO_SERVICIO)*($B$2:$B188&lt;&gt;"")*($D$2:$D188&lt;&gt;"")*($F$2:$F188&lt;&gt;"")*($G$2:$G188&lt;&gt;"")*($H$2:$H188&lt;&gt;"")*($L$2:$L188&lt;&gt;"")),"0000")))</f>
        <v/>
      </c>
      <c r="B188" s="14"/>
      <c r="C188" s="10" t="str">
        <f t="shared" si="5"/>
        <v/>
      </c>
      <c r="D188" s="14"/>
      <c r="E188" s="14"/>
      <c r="F188" s="14"/>
      <c r="G188" s="15"/>
      <c r="H188" s="16"/>
      <c r="I188" s="14"/>
      <c r="J188" s="14"/>
      <c r="K188" s="10" t="str">
        <f>IF($J188="","",IFERROR(INDEX(PROV_NOM,MATCH($J188,PROV_COD,0)),""))</f>
        <v/>
      </c>
      <c r="L188" s="11" t="s">
        <v>35</v>
      </c>
    </row>
    <row r="189" spans="1:12" x14ac:dyDescent="0.25">
      <c r="A189" s="10" t="str">
        <f>IF(OR($B189="",$D189="",$F189="",$G189="",$H189="",$L189=""),"",IF($B189=TIPO_SERVICIO,IF($I189="","",$I189),PREFIJO_REC&amp;TEXT(SUMPRODUCT(($B$2:$B189&lt;&gt;TIPO_SERVICIO)*($B$2:$B189&lt;&gt;"")*($D$2:$D189&lt;&gt;"")*($F$2:$F189&lt;&gt;"")*($G$2:$G189&lt;&gt;"")*($H$2:$H189&lt;&gt;"")*($L$2:$L189&lt;&gt;"")),"0000")))</f>
        <v/>
      </c>
      <c r="B189" s="14"/>
      <c r="C189" s="10" t="str">
        <f t="shared" si="5"/>
        <v/>
      </c>
      <c r="D189" s="14"/>
      <c r="E189" s="14"/>
      <c r="F189" s="14"/>
      <c r="G189" s="15"/>
      <c r="H189" s="16"/>
      <c r="I189" s="14"/>
      <c r="J189" s="14"/>
      <c r="K189" s="10" t="str">
        <f>IF($J189="","",IFERROR(INDEX(PROV_NOM,MATCH($J189,PROV_COD,0)),""))</f>
        <v/>
      </c>
      <c r="L189" s="11" t="s">
        <v>35</v>
      </c>
    </row>
    <row r="190" spans="1:12" x14ac:dyDescent="0.25">
      <c r="A190" s="10" t="str">
        <f>IF(OR($B190="",$D190="",$F190="",$G190="",$H190="",$L190=""),"",IF($B190=TIPO_SERVICIO,IF($I190="","",$I190),PREFIJO_REC&amp;TEXT(SUMPRODUCT(($B$2:$B190&lt;&gt;TIPO_SERVICIO)*($B$2:$B190&lt;&gt;"")*($D$2:$D190&lt;&gt;"")*($F$2:$F190&lt;&gt;"")*($G$2:$G190&lt;&gt;"")*($H$2:$H190&lt;&gt;"")*($L$2:$L190&lt;&gt;"")),"0000")))</f>
        <v/>
      </c>
      <c r="B190" s="14"/>
      <c r="C190" s="10" t="str">
        <f t="shared" si="5"/>
        <v/>
      </c>
      <c r="D190" s="14"/>
      <c r="E190" s="14"/>
      <c r="F190" s="14"/>
      <c r="G190" s="15"/>
      <c r="H190" s="16"/>
      <c r="I190" s="14"/>
      <c r="J190" s="14"/>
      <c r="K190" s="10" t="str">
        <f>IF($J190="","",IFERROR(INDEX(PROV_NOM,MATCH($J190,PROV_COD,0)),""))</f>
        <v/>
      </c>
      <c r="L190" s="11" t="s">
        <v>35</v>
      </c>
    </row>
    <row r="191" spans="1:12" x14ac:dyDescent="0.25">
      <c r="A191" s="10" t="str">
        <f>IF(OR($B191="",$D191="",$F191="",$G191="",$H191="",$L191=""),"",IF($B191=TIPO_SERVICIO,IF($I191="","",$I191),PREFIJO_REC&amp;TEXT(SUMPRODUCT(($B$2:$B191&lt;&gt;TIPO_SERVICIO)*($B$2:$B191&lt;&gt;"")*($D$2:$D191&lt;&gt;"")*($F$2:$F191&lt;&gt;"")*($G$2:$G191&lt;&gt;"")*($H$2:$H191&lt;&gt;"")*($L$2:$L191&lt;&gt;"")),"0000")))</f>
        <v/>
      </c>
      <c r="B191" s="14"/>
      <c r="C191" s="10" t="str">
        <f t="shared" si="5"/>
        <v/>
      </c>
      <c r="D191" s="14"/>
      <c r="E191" s="14"/>
      <c r="F191" s="14"/>
      <c r="G191" s="15"/>
      <c r="H191" s="16"/>
      <c r="I191" s="14"/>
      <c r="J191" s="14"/>
      <c r="K191" s="10" t="str">
        <f>IF($J191="","",IFERROR(INDEX(PROV_NOM,MATCH($J191,PROV_COD,0)),""))</f>
        <v/>
      </c>
      <c r="L191" s="11" t="s">
        <v>35</v>
      </c>
    </row>
    <row r="192" spans="1:12" x14ac:dyDescent="0.25">
      <c r="A192" s="10" t="str">
        <f>IF(OR($B192="",$D192="",$F192="",$G192="",$H192="",$L192=""),"",IF($B192=TIPO_SERVICIO,IF($I192="","",$I192),PREFIJO_REC&amp;TEXT(SUMPRODUCT(($B$2:$B192&lt;&gt;TIPO_SERVICIO)*($B$2:$B192&lt;&gt;"")*($D$2:$D192&lt;&gt;"")*($F$2:$F192&lt;&gt;"")*($G$2:$G192&lt;&gt;"")*($H$2:$H192&lt;&gt;"")*($L$2:$L192&lt;&gt;"")),"0000")))</f>
        <v/>
      </c>
      <c r="B192" s="14"/>
      <c r="C192" s="10" t="str">
        <f t="shared" si="5"/>
        <v/>
      </c>
      <c r="D192" s="14"/>
      <c r="E192" s="14"/>
      <c r="F192" s="14"/>
      <c r="G192" s="15"/>
      <c r="H192" s="16"/>
      <c r="I192" s="14"/>
      <c r="J192" s="14"/>
      <c r="K192" s="10" t="str">
        <f>IF($J192="","",IFERROR(INDEX(PROV_NOM,MATCH($J192,PROV_COD,0)),""))</f>
        <v/>
      </c>
      <c r="L192" s="11" t="s">
        <v>35</v>
      </c>
    </row>
    <row r="193" spans="1:12" x14ac:dyDescent="0.25">
      <c r="A193" s="10" t="str">
        <f>IF(OR($B193="",$D193="",$F193="",$G193="",$H193="",$L193=""),"",IF($B193=TIPO_SERVICIO,IF($I193="","",$I193),PREFIJO_REC&amp;TEXT(SUMPRODUCT(($B$2:$B193&lt;&gt;TIPO_SERVICIO)*($B$2:$B193&lt;&gt;"")*($D$2:$D193&lt;&gt;"")*($F$2:$F193&lt;&gt;"")*($G$2:$G193&lt;&gt;"")*($H$2:$H193&lt;&gt;"")*($L$2:$L193&lt;&gt;"")),"0000")))</f>
        <v/>
      </c>
      <c r="B193" s="14"/>
      <c r="C193" s="10" t="str">
        <f t="shared" si="5"/>
        <v/>
      </c>
      <c r="D193" s="14"/>
      <c r="E193" s="14"/>
      <c r="F193" s="14"/>
      <c r="G193" s="15"/>
      <c r="H193" s="16"/>
      <c r="I193" s="14"/>
      <c r="J193" s="14"/>
      <c r="K193" s="10" t="str">
        <f>IF($J193="","",IFERROR(INDEX(PROV_NOM,MATCH($J193,PROV_COD,0)),""))</f>
        <v/>
      </c>
      <c r="L193" s="11" t="s">
        <v>35</v>
      </c>
    </row>
    <row r="194" spans="1:12" x14ac:dyDescent="0.25">
      <c r="A194" s="10" t="str">
        <f>IF(OR($B194="",$D194="",$F194="",$G194="",$H194="",$L194=""),"",IF($B194=TIPO_SERVICIO,IF($I194="","",$I194),PREFIJO_REC&amp;TEXT(SUMPRODUCT(($B$2:$B194&lt;&gt;TIPO_SERVICIO)*($B$2:$B194&lt;&gt;"")*($D$2:$D194&lt;&gt;"")*($F$2:$F194&lt;&gt;"")*($G$2:$G194&lt;&gt;"")*($H$2:$H194&lt;&gt;"")*($L$2:$L194&lt;&gt;"")),"0000")))</f>
        <v/>
      </c>
      <c r="B194" s="14"/>
      <c r="C194" s="10" t="str">
        <f t="shared" ref="C194:C201" si="6">IF($B194="","",IFERROR(INDEX(TREC_CLASE,MATCH($B194,TREC_NOMBRE,0)),""))</f>
        <v/>
      </c>
      <c r="D194" s="14"/>
      <c r="E194" s="14"/>
      <c r="F194" s="14"/>
      <c r="G194" s="15"/>
      <c r="H194" s="16"/>
      <c r="I194" s="14"/>
      <c r="J194" s="14"/>
      <c r="K194" s="10" t="str">
        <f>IF($J194="","",IFERROR(INDEX(PROV_NOM,MATCH($J194,PROV_COD,0)),""))</f>
        <v/>
      </c>
      <c r="L194" s="11" t="s">
        <v>35</v>
      </c>
    </row>
    <row r="195" spans="1:12" x14ac:dyDescent="0.25">
      <c r="A195" s="10" t="str">
        <f>IF(OR($B195="",$D195="",$F195="",$G195="",$H195="",$L195=""),"",IF($B195=TIPO_SERVICIO,IF($I195="","",$I195),PREFIJO_REC&amp;TEXT(SUMPRODUCT(($B$2:$B195&lt;&gt;TIPO_SERVICIO)*($B$2:$B195&lt;&gt;"")*($D$2:$D195&lt;&gt;"")*($F$2:$F195&lt;&gt;"")*($G$2:$G195&lt;&gt;"")*($H$2:$H195&lt;&gt;"")*($L$2:$L195&lt;&gt;"")),"0000")))</f>
        <v/>
      </c>
      <c r="B195" s="14"/>
      <c r="C195" s="10" t="str">
        <f t="shared" si="6"/>
        <v/>
      </c>
      <c r="D195" s="14"/>
      <c r="E195" s="14"/>
      <c r="F195" s="14"/>
      <c r="G195" s="15"/>
      <c r="H195" s="16"/>
      <c r="I195" s="14"/>
      <c r="J195" s="14"/>
      <c r="K195" s="10" t="str">
        <f>IF($J195="","",IFERROR(INDEX(PROV_NOM,MATCH($J195,PROV_COD,0)),""))</f>
        <v/>
      </c>
      <c r="L195" s="11" t="s">
        <v>35</v>
      </c>
    </row>
    <row r="196" spans="1:12" x14ac:dyDescent="0.25">
      <c r="A196" s="10" t="str">
        <f>IF(OR($B196="",$D196="",$F196="",$G196="",$H196="",$L196=""),"",IF($B196=TIPO_SERVICIO,IF($I196="","",$I196),PREFIJO_REC&amp;TEXT(SUMPRODUCT(($B$2:$B196&lt;&gt;TIPO_SERVICIO)*($B$2:$B196&lt;&gt;"")*($D$2:$D196&lt;&gt;"")*($F$2:$F196&lt;&gt;"")*($G$2:$G196&lt;&gt;"")*($H$2:$H196&lt;&gt;"")*($L$2:$L196&lt;&gt;"")),"0000")))</f>
        <v/>
      </c>
      <c r="B196" s="14"/>
      <c r="C196" s="10" t="str">
        <f t="shared" si="6"/>
        <v/>
      </c>
      <c r="D196" s="14"/>
      <c r="E196" s="14"/>
      <c r="F196" s="14"/>
      <c r="G196" s="15"/>
      <c r="H196" s="16"/>
      <c r="I196" s="14"/>
      <c r="J196" s="14"/>
      <c r="K196" s="10" t="str">
        <f>IF($J196="","",IFERROR(INDEX(PROV_NOM,MATCH($J196,PROV_COD,0)),""))</f>
        <v/>
      </c>
      <c r="L196" s="11" t="s">
        <v>35</v>
      </c>
    </row>
    <row r="197" spans="1:12" x14ac:dyDescent="0.25">
      <c r="A197" s="10" t="str">
        <f>IF(OR($B197="",$D197="",$F197="",$G197="",$H197="",$L197=""),"",IF($B197=TIPO_SERVICIO,IF($I197="","",$I197),PREFIJO_REC&amp;TEXT(SUMPRODUCT(($B$2:$B197&lt;&gt;TIPO_SERVICIO)*($B$2:$B197&lt;&gt;"")*($D$2:$D197&lt;&gt;"")*($F$2:$F197&lt;&gt;"")*($G$2:$G197&lt;&gt;"")*($H$2:$H197&lt;&gt;"")*($L$2:$L197&lt;&gt;"")),"0000")))</f>
        <v/>
      </c>
      <c r="B197" s="14"/>
      <c r="C197" s="10" t="str">
        <f t="shared" si="6"/>
        <v/>
      </c>
      <c r="D197" s="14"/>
      <c r="E197" s="14"/>
      <c r="F197" s="14"/>
      <c r="G197" s="15"/>
      <c r="H197" s="16"/>
      <c r="I197" s="14"/>
      <c r="J197" s="14"/>
      <c r="K197" s="10" t="str">
        <f>IF($J197="","",IFERROR(INDEX(PROV_NOM,MATCH($J197,PROV_COD,0)),""))</f>
        <v/>
      </c>
      <c r="L197" s="11" t="s">
        <v>35</v>
      </c>
    </row>
    <row r="198" spans="1:12" x14ac:dyDescent="0.25">
      <c r="A198" s="10" t="str">
        <f>IF(OR($B198="",$D198="",$F198="",$G198="",$H198="",$L198=""),"",IF($B198=TIPO_SERVICIO,IF($I198="","",$I198),PREFIJO_REC&amp;TEXT(SUMPRODUCT(($B$2:$B198&lt;&gt;TIPO_SERVICIO)*($B$2:$B198&lt;&gt;"")*($D$2:$D198&lt;&gt;"")*($F$2:$F198&lt;&gt;"")*($G$2:$G198&lt;&gt;"")*($H$2:$H198&lt;&gt;"")*($L$2:$L198&lt;&gt;"")),"0000")))</f>
        <v/>
      </c>
      <c r="B198" s="14"/>
      <c r="C198" s="10" t="str">
        <f t="shared" si="6"/>
        <v/>
      </c>
      <c r="D198" s="14"/>
      <c r="E198" s="14"/>
      <c r="F198" s="14"/>
      <c r="G198" s="15"/>
      <c r="H198" s="16"/>
      <c r="I198" s="14"/>
      <c r="J198" s="14"/>
      <c r="K198" s="10" t="str">
        <f>IF($J198="","",IFERROR(INDEX(PROV_NOM,MATCH($J198,PROV_COD,0)),""))</f>
        <v/>
      </c>
      <c r="L198" s="11" t="s">
        <v>35</v>
      </c>
    </row>
    <row r="199" spans="1:12" x14ac:dyDescent="0.25">
      <c r="A199" s="10" t="str">
        <f>IF(OR($B199="",$D199="",$F199="",$G199="",$H199="",$L199=""),"",IF($B199=TIPO_SERVICIO,IF($I199="","",$I199),PREFIJO_REC&amp;TEXT(SUMPRODUCT(($B$2:$B199&lt;&gt;TIPO_SERVICIO)*($B$2:$B199&lt;&gt;"")*($D$2:$D199&lt;&gt;"")*($F$2:$F199&lt;&gt;"")*($G$2:$G199&lt;&gt;"")*($H$2:$H199&lt;&gt;"")*($L$2:$L199&lt;&gt;"")),"0000")))</f>
        <v/>
      </c>
      <c r="B199" s="14"/>
      <c r="C199" s="10" t="str">
        <f t="shared" si="6"/>
        <v/>
      </c>
      <c r="D199" s="14"/>
      <c r="E199" s="14"/>
      <c r="F199" s="14"/>
      <c r="G199" s="15"/>
      <c r="H199" s="16"/>
      <c r="I199" s="14"/>
      <c r="J199" s="14"/>
      <c r="K199" s="10" t="str">
        <f>IF($J199="","",IFERROR(INDEX(PROV_NOM,MATCH($J199,PROV_COD,0)),""))</f>
        <v/>
      </c>
      <c r="L199" s="11" t="s">
        <v>35</v>
      </c>
    </row>
    <row r="200" spans="1:12" x14ac:dyDescent="0.25">
      <c r="A200" s="10" t="str">
        <f>IF(OR($B200="",$D200="",$F200="",$G200="",$H200="",$L200=""),"",IF($B200=TIPO_SERVICIO,IF($I200="","",$I200),PREFIJO_REC&amp;TEXT(SUMPRODUCT(($B$2:$B200&lt;&gt;TIPO_SERVICIO)*($B$2:$B200&lt;&gt;"")*($D$2:$D200&lt;&gt;"")*($F$2:$F200&lt;&gt;"")*($G$2:$G200&lt;&gt;"")*($H$2:$H200&lt;&gt;"")*($L$2:$L200&lt;&gt;"")),"0000")))</f>
        <v/>
      </c>
      <c r="B200" s="14"/>
      <c r="C200" s="10" t="str">
        <f t="shared" si="6"/>
        <v/>
      </c>
      <c r="D200" s="14"/>
      <c r="E200" s="14"/>
      <c r="F200" s="14"/>
      <c r="G200" s="15"/>
      <c r="H200" s="16"/>
      <c r="I200" s="14"/>
      <c r="J200" s="14"/>
      <c r="K200" s="10" t="str">
        <f>IF($J200="","",IFERROR(INDEX(PROV_NOM,MATCH($J200,PROV_COD,0)),""))</f>
        <v/>
      </c>
      <c r="L200" s="11" t="s">
        <v>35</v>
      </c>
    </row>
    <row r="201" spans="1:12" x14ac:dyDescent="0.25">
      <c r="A201" s="10" t="str">
        <f>IF(OR($B201="",$D201="",$F201="",$G201="",$H201="",$L201=""),"",IF($B201=TIPO_SERVICIO,IF($I201="","",$I201),PREFIJO_REC&amp;TEXT(SUMPRODUCT(($B$2:$B201&lt;&gt;TIPO_SERVICIO)*($B$2:$B201&lt;&gt;"")*($D$2:$D201&lt;&gt;"")*($F$2:$F201&lt;&gt;"")*($G$2:$G201&lt;&gt;"")*($H$2:$H201&lt;&gt;"")*($L$2:$L201&lt;&gt;"")),"0000")))</f>
        <v/>
      </c>
      <c r="B201" s="14"/>
      <c r="C201" s="10" t="str">
        <f t="shared" si="6"/>
        <v/>
      </c>
      <c r="D201" s="14"/>
      <c r="E201" s="14"/>
      <c r="F201" s="14"/>
      <c r="G201" s="15"/>
      <c r="H201" s="16"/>
      <c r="I201" s="14"/>
      <c r="J201" s="14"/>
      <c r="K201" s="10" t="str">
        <f>IF($J201="","",IFERROR(INDEX(PROV_NOM,MATCH($J201,PROV_COD,0)),""))</f>
        <v/>
      </c>
      <c r="L201" s="11" t="s">
        <v>35</v>
      </c>
    </row>
  </sheetData>
  <autoFilter ref="A1:L1" xr:uid="{00000000-0009-0000-0000-000001000000}"/>
  <dataValidations count="6">
    <dataValidation type="list" allowBlank="1" showErrorMessage="1" errorTitle="Valor no válido" error="Elige un tipo de la lista (bloque 2 de Configuraciones)." sqref="B2:B201" xr:uid="{00000000-0002-0000-0100-000000000000}">
      <formula1>INDIRECT("TTREC[NOMBRE]")</formula1>
    </dataValidation>
    <dataValidation type="list" allowBlank="1" showErrorMessage="1" errorTitle="Valor no válido" error="Elige una unidad de la lista." sqref="F2:F201" xr:uid="{00000000-0002-0000-0100-000001000000}">
      <formula1>INDIRECT("TUM[UNIDAD]")</formula1>
    </dataValidation>
    <dataValidation type="list" allowBlank="1" showInputMessage="1" showErrorMessage="1" errorTitle="Valor no válido" error="Elige un proveedor de la lista (bloque 7)." promptTitle="Ayuda" prompt="Solo para recursos de tipo SERVICIO DE TERCEROS." sqref="J2:J201" xr:uid="{00000000-0002-0000-0100-000002000000}">
      <formula1>INDIRECT("TPROV[CODIGO]")</formula1>
    </dataValidation>
    <dataValidation type="list" allowBlank="1" showErrorMessage="1" errorTitle="Valor no válido" error="Elige Activo o Inactivo." sqref="L2:L201" xr:uid="{00000000-0002-0000-0100-000003000000}">
      <formula1>INDIRECT("TEST[ESTADO]")</formula1>
    </dataValidation>
    <dataValidation type="decimal" operator="greaterThanOrEqual" allowBlank="1" showErrorMessage="1" errorTitle="Valor no válido" error="El costo estándar debe ser 0 o más." sqref="G2:G201" xr:uid="{00000000-0002-0000-0100-000004000000}">
      <formula1>0</formula1>
    </dataValidation>
    <dataValidation type="whole" operator="greaterThanOrEqual" allowBlank="1" showErrorMessage="1" errorTitle="Valor no válido" error="La cuenta mayor es solo números (ej. 921101)." sqref="H2:H201" xr:uid="{00000000-0002-0000-0100-000005000000}">
      <formula1>1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2"/>
  <sheetViews>
    <sheetView showGridLines="0" workbookViewId="0">
      <pane ySplit="2" topLeftCell="A3" activePane="bottomLeft" state="frozen"/>
      <selection pane="bottomLeft" activeCell="H3" sqref="H3:H152"/>
    </sheetView>
  </sheetViews>
  <sheetFormatPr baseColWidth="10" defaultColWidth="9.140625" defaultRowHeight="15" x14ac:dyDescent="0.25"/>
  <cols>
    <col min="1" max="1" width="14" customWidth="1"/>
    <col min="2" max="2" width="32" customWidth="1"/>
    <col min="3" max="3" width="24" customWidth="1"/>
    <col min="4" max="4" width="34" customWidth="1"/>
    <col min="5" max="5" width="24" customWidth="1"/>
    <col min="6" max="7" width="17" customWidth="1"/>
    <col min="8" max="8" width="12" customWidth="1"/>
  </cols>
  <sheetData>
    <row r="1" spans="1:8" x14ac:dyDescent="0.25">
      <c r="A1" s="17" t="s">
        <v>39</v>
      </c>
    </row>
    <row r="2" spans="1:8" ht="27.95" customHeight="1" x14ac:dyDescent="0.25">
      <c r="A2" s="7" t="s">
        <v>21</v>
      </c>
      <c r="B2" s="8" t="s">
        <v>24</v>
      </c>
      <c r="C2" s="8" t="s">
        <v>40</v>
      </c>
      <c r="D2" s="7" t="s">
        <v>41</v>
      </c>
      <c r="E2" s="7" t="s">
        <v>42</v>
      </c>
      <c r="F2" s="7" t="s">
        <v>43</v>
      </c>
      <c r="G2" s="7" t="s">
        <v>44</v>
      </c>
      <c r="H2" s="8" t="s">
        <v>30</v>
      </c>
    </row>
    <row r="3" spans="1:8" x14ac:dyDescent="0.25">
      <c r="A3" s="10" t="str">
        <f>IF(OR($B3="",$C3="",$H3=""),"",PREFIJO_OPE&amp;TEXT(SUMPRODUCT(($B$3:$B3&lt;&gt;"")*($C$3:$C3&lt;&gt;"")*($H$3:$H3&lt;&gt;"")),"000"))</f>
        <v>OPE-001</v>
      </c>
      <c r="B3" s="11" t="s">
        <v>45</v>
      </c>
      <c r="C3" s="11" t="s">
        <v>46</v>
      </c>
      <c r="D3" s="10" t="str">
        <f>IF($C3="","",IFERROR(INDEX(Recursos!$D$2:$D$201,MATCH($C3,Recursos!$A$2:$A$201,0)),""))</f>
        <v>Operario de corte</v>
      </c>
      <c r="E3" s="10" t="str">
        <f>IF($C3="","",IFERROR(INDEX(Recursos!$B$2:$B$201,MATCH($C3,Recursos!$A$2:$A$201,0)),""))</f>
        <v>RECURSO HUMANO</v>
      </c>
      <c r="F3" s="10" t="str">
        <f>IF($C3="","",IFERROR(INDEX(Recursos!$F$2:$F$201,MATCH($C3,Recursos!$A$2:$A$201,0)),""))</f>
        <v>HORA</v>
      </c>
      <c r="G3" s="18">
        <f>IF($C3="","",IFERROR(INDEX(Recursos!$G$2:$G$201,MATCH($C3,Recursos!$A$2:$A$201,0)),""))</f>
        <v>15</v>
      </c>
      <c r="H3" s="11" t="s">
        <v>35</v>
      </c>
    </row>
    <row r="4" spans="1:8" x14ac:dyDescent="0.25">
      <c r="A4" s="10" t="str">
        <f>IF(OR($B4="",$C4="",$H4=""),"",PREFIJO_OPE&amp;TEXT(SUMPRODUCT(($B$3:$B4&lt;&gt;"")*($C$3:$C4&lt;&gt;"")*($H$3:$H4&lt;&gt;"")),"000"))</f>
        <v/>
      </c>
      <c r="B4" s="14"/>
      <c r="C4" s="14"/>
      <c r="D4" s="10" t="str">
        <f>IF($C4="","",IFERROR(INDEX(Recursos!$D$2:$D$201,MATCH($C4,Recursos!$A$2:$A$201,0)),""))</f>
        <v/>
      </c>
      <c r="E4" s="10" t="str">
        <f>IF($C4="","",IFERROR(INDEX(Recursos!$B$2:$B$201,MATCH($C4,Recursos!$A$2:$A$201,0)),""))</f>
        <v/>
      </c>
      <c r="F4" s="10" t="str">
        <f>IF($C4="","",IFERROR(INDEX(Recursos!$F$2:$F$201,MATCH($C4,Recursos!$A$2:$A$201,0)),""))</f>
        <v/>
      </c>
      <c r="G4" s="18" t="str">
        <f>IF($C4="","",IFERROR(INDEX(Recursos!$G$2:$G$201,MATCH($C4,Recursos!$A$2:$A$201,0)),""))</f>
        <v/>
      </c>
      <c r="H4" s="11" t="s">
        <v>35</v>
      </c>
    </row>
    <row r="5" spans="1:8" x14ac:dyDescent="0.25">
      <c r="A5" s="10" t="str">
        <f>IF(OR($B5="",$C5="",$H5=""),"",PREFIJO_OPE&amp;TEXT(SUMPRODUCT(($B$3:$B5&lt;&gt;"")*($C$3:$C5&lt;&gt;"")*($H$3:$H5&lt;&gt;"")),"000"))</f>
        <v/>
      </c>
      <c r="B5" s="14"/>
      <c r="C5" s="14"/>
      <c r="D5" s="10" t="str">
        <f>IF($C5="","",IFERROR(INDEX(Recursos!$D$2:$D$201,MATCH($C5,Recursos!$A$2:$A$201,0)),""))</f>
        <v/>
      </c>
      <c r="E5" s="10" t="str">
        <f>IF($C5="","",IFERROR(INDEX(Recursos!$B$2:$B$201,MATCH($C5,Recursos!$A$2:$A$201,0)),""))</f>
        <v/>
      </c>
      <c r="F5" s="10" t="str">
        <f>IF($C5="","",IFERROR(INDEX(Recursos!$F$2:$F$201,MATCH($C5,Recursos!$A$2:$A$201,0)),""))</f>
        <v/>
      </c>
      <c r="G5" s="18" t="str">
        <f>IF($C5="","",IFERROR(INDEX(Recursos!$G$2:$G$201,MATCH($C5,Recursos!$A$2:$A$201,0)),""))</f>
        <v/>
      </c>
      <c r="H5" s="11" t="s">
        <v>35</v>
      </c>
    </row>
    <row r="6" spans="1:8" x14ac:dyDescent="0.25">
      <c r="A6" s="10" t="str">
        <f>IF(OR($B6="",$C6="",$H6=""),"",PREFIJO_OPE&amp;TEXT(SUMPRODUCT(($B$3:$B6&lt;&gt;"")*($C$3:$C6&lt;&gt;"")*($H$3:$H6&lt;&gt;"")),"000"))</f>
        <v/>
      </c>
      <c r="B6" s="14"/>
      <c r="C6" s="14"/>
      <c r="D6" s="10" t="str">
        <f>IF($C6="","",IFERROR(INDEX(Recursos!$D$2:$D$201,MATCH($C6,Recursos!$A$2:$A$201,0)),""))</f>
        <v/>
      </c>
      <c r="E6" s="10" t="str">
        <f>IF($C6="","",IFERROR(INDEX(Recursos!$B$2:$B$201,MATCH($C6,Recursos!$A$2:$A$201,0)),""))</f>
        <v/>
      </c>
      <c r="F6" s="10" t="str">
        <f>IF($C6="","",IFERROR(INDEX(Recursos!$F$2:$F$201,MATCH($C6,Recursos!$A$2:$A$201,0)),""))</f>
        <v/>
      </c>
      <c r="G6" s="18" t="str">
        <f>IF($C6="","",IFERROR(INDEX(Recursos!$G$2:$G$201,MATCH($C6,Recursos!$A$2:$A$201,0)),""))</f>
        <v/>
      </c>
      <c r="H6" s="11" t="s">
        <v>35</v>
      </c>
    </row>
    <row r="7" spans="1:8" x14ac:dyDescent="0.25">
      <c r="A7" s="10" t="str">
        <f>IF(OR($B7="",$C7="",$H7=""),"",PREFIJO_OPE&amp;TEXT(SUMPRODUCT(($B$3:$B7&lt;&gt;"")*($C$3:$C7&lt;&gt;"")*($H$3:$H7&lt;&gt;"")),"000"))</f>
        <v/>
      </c>
      <c r="B7" s="14"/>
      <c r="C7" s="14"/>
      <c r="D7" s="10" t="str">
        <f>IF($C7="","",IFERROR(INDEX(Recursos!$D$2:$D$201,MATCH($C7,Recursos!$A$2:$A$201,0)),""))</f>
        <v/>
      </c>
      <c r="E7" s="10" t="str">
        <f>IF($C7="","",IFERROR(INDEX(Recursos!$B$2:$B$201,MATCH($C7,Recursos!$A$2:$A$201,0)),""))</f>
        <v/>
      </c>
      <c r="F7" s="10" t="str">
        <f>IF($C7="","",IFERROR(INDEX(Recursos!$F$2:$F$201,MATCH($C7,Recursos!$A$2:$A$201,0)),""))</f>
        <v/>
      </c>
      <c r="G7" s="18" t="str">
        <f>IF($C7="","",IFERROR(INDEX(Recursos!$G$2:$G$201,MATCH($C7,Recursos!$A$2:$A$201,0)),""))</f>
        <v/>
      </c>
      <c r="H7" s="11" t="s">
        <v>35</v>
      </c>
    </row>
    <row r="8" spans="1:8" x14ac:dyDescent="0.25">
      <c r="A8" s="10" t="str">
        <f>IF(OR($B8="",$C8="",$H8=""),"",PREFIJO_OPE&amp;TEXT(SUMPRODUCT(($B$3:$B8&lt;&gt;"")*($C$3:$C8&lt;&gt;"")*($H$3:$H8&lt;&gt;"")),"000"))</f>
        <v/>
      </c>
      <c r="B8" s="14"/>
      <c r="C8" s="14"/>
      <c r="D8" s="10" t="str">
        <f>IF($C8="","",IFERROR(INDEX(Recursos!$D$2:$D$201,MATCH($C8,Recursos!$A$2:$A$201,0)),""))</f>
        <v/>
      </c>
      <c r="E8" s="10" t="str">
        <f>IF($C8="","",IFERROR(INDEX(Recursos!$B$2:$B$201,MATCH($C8,Recursos!$A$2:$A$201,0)),""))</f>
        <v/>
      </c>
      <c r="F8" s="10" t="str">
        <f>IF($C8="","",IFERROR(INDEX(Recursos!$F$2:$F$201,MATCH($C8,Recursos!$A$2:$A$201,0)),""))</f>
        <v/>
      </c>
      <c r="G8" s="18" t="str">
        <f>IF($C8="","",IFERROR(INDEX(Recursos!$G$2:$G$201,MATCH($C8,Recursos!$A$2:$A$201,0)),""))</f>
        <v/>
      </c>
      <c r="H8" s="11" t="s">
        <v>35</v>
      </c>
    </row>
    <row r="9" spans="1:8" x14ac:dyDescent="0.25">
      <c r="A9" s="10" t="str">
        <f>IF(OR($B9="",$C9="",$H9=""),"",PREFIJO_OPE&amp;TEXT(SUMPRODUCT(($B$3:$B9&lt;&gt;"")*($C$3:$C9&lt;&gt;"")*($H$3:$H9&lt;&gt;"")),"000"))</f>
        <v/>
      </c>
      <c r="B9" s="14"/>
      <c r="C9" s="14"/>
      <c r="D9" s="10" t="str">
        <f>IF($C9="","",IFERROR(INDEX(Recursos!$D$2:$D$201,MATCH($C9,Recursos!$A$2:$A$201,0)),""))</f>
        <v/>
      </c>
      <c r="E9" s="10" t="str">
        <f>IF($C9="","",IFERROR(INDEX(Recursos!$B$2:$B$201,MATCH($C9,Recursos!$A$2:$A$201,0)),""))</f>
        <v/>
      </c>
      <c r="F9" s="10" t="str">
        <f>IF($C9="","",IFERROR(INDEX(Recursos!$F$2:$F$201,MATCH($C9,Recursos!$A$2:$A$201,0)),""))</f>
        <v/>
      </c>
      <c r="G9" s="18" t="str">
        <f>IF($C9="","",IFERROR(INDEX(Recursos!$G$2:$G$201,MATCH($C9,Recursos!$A$2:$A$201,0)),""))</f>
        <v/>
      </c>
      <c r="H9" s="11" t="s">
        <v>35</v>
      </c>
    </row>
    <row r="10" spans="1:8" x14ac:dyDescent="0.25">
      <c r="A10" s="10" t="str">
        <f>IF(OR($B10="",$C10="",$H10=""),"",PREFIJO_OPE&amp;TEXT(SUMPRODUCT(($B$3:$B10&lt;&gt;"")*($C$3:$C10&lt;&gt;"")*($H$3:$H10&lt;&gt;"")),"000"))</f>
        <v/>
      </c>
      <c r="B10" s="14"/>
      <c r="C10" s="14"/>
      <c r="D10" s="10" t="str">
        <f>IF($C10="","",IFERROR(INDEX(Recursos!$D$2:$D$201,MATCH($C10,Recursos!$A$2:$A$201,0)),""))</f>
        <v/>
      </c>
      <c r="E10" s="10" t="str">
        <f>IF($C10="","",IFERROR(INDEX(Recursos!$B$2:$B$201,MATCH($C10,Recursos!$A$2:$A$201,0)),""))</f>
        <v/>
      </c>
      <c r="F10" s="10" t="str">
        <f>IF($C10="","",IFERROR(INDEX(Recursos!$F$2:$F$201,MATCH($C10,Recursos!$A$2:$A$201,0)),""))</f>
        <v/>
      </c>
      <c r="G10" s="18" t="str">
        <f>IF($C10="","",IFERROR(INDEX(Recursos!$G$2:$G$201,MATCH($C10,Recursos!$A$2:$A$201,0)),""))</f>
        <v/>
      </c>
      <c r="H10" s="11" t="s">
        <v>35</v>
      </c>
    </row>
    <row r="11" spans="1:8" x14ac:dyDescent="0.25">
      <c r="A11" s="10" t="str">
        <f>IF(OR($B11="",$C11="",$H11=""),"",PREFIJO_OPE&amp;TEXT(SUMPRODUCT(($B$3:$B11&lt;&gt;"")*($C$3:$C11&lt;&gt;"")*($H$3:$H11&lt;&gt;"")),"000"))</f>
        <v/>
      </c>
      <c r="B11" s="14"/>
      <c r="C11" s="14"/>
      <c r="D11" s="10" t="str">
        <f>IF($C11="","",IFERROR(INDEX(Recursos!$D$2:$D$201,MATCH($C11,Recursos!$A$2:$A$201,0)),""))</f>
        <v/>
      </c>
      <c r="E11" s="10" t="str">
        <f>IF($C11="","",IFERROR(INDEX(Recursos!$B$2:$B$201,MATCH($C11,Recursos!$A$2:$A$201,0)),""))</f>
        <v/>
      </c>
      <c r="F11" s="10" t="str">
        <f>IF($C11="","",IFERROR(INDEX(Recursos!$F$2:$F$201,MATCH($C11,Recursos!$A$2:$A$201,0)),""))</f>
        <v/>
      </c>
      <c r="G11" s="18" t="str">
        <f>IF($C11="","",IFERROR(INDEX(Recursos!$G$2:$G$201,MATCH($C11,Recursos!$A$2:$A$201,0)),""))</f>
        <v/>
      </c>
      <c r="H11" s="11" t="s">
        <v>35</v>
      </c>
    </row>
    <row r="12" spans="1:8" x14ac:dyDescent="0.25">
      <c r="A12" s="10" t="str">
        <f>IF(OR($B12="",$C12="",$H12=""),"",PREFIJO_OPE&amp;TEXT(SUMPRODUCT(($B$3:$B12&lt;&gt;"")*($C$3:$C12&lt;&gt;"")*($H$3:$H12&lt;&gt;"")),"000"))</f>
        <v/>
      </c>
      <c r="B12" s="14"/>
      <c r="C12" s="14"/>
      <c r="D12" s="10" t="str">
        <f>IF($C12="","",IFERROR(INDEX(Recursos!$D$2:$D$201,MATCH($C12,Recursos!$A$2:$A$201,0)),""))</f>
        <v/>
      </c>
      <c r="E12" s="10" t="str">
        <f>IF($C12="","",IFERROR(INDEX(Recursos!$B$2:$B$201,MATCH($C12,Recursos!$A$2:$A$201,0)),""))</f>
        <v/>
      </c>
      <c r="F12" s="10" t="str">
        <f>IF($C12="","",IFERROR(INDEX(Recursos!$F$2:$F$201,MATCH($C12,Recursos!$A$2:$A$201,0)),""))</f>
        <v/>
      </c>
      <c r="G12" s="18" t="str">
        <f>IF($C12="","",IFERROR(INDEX(Recursos!$G$2:$G$201,MATCH($C12,Recursos!$A$2:$A$201,0)),""))</f>
        <v/>
      </c>
      <c r="H12" s="11" t="s">
        <v>35</v>
      </c>
    </row>
    <row r="13" spans="1:8" x14ac:dyDescent="0.25">
      <c r="A13" s="10" t="str">
        <f>IF(OR($B13="",$C13="",$H13=""),"",PREFIJO_OPE&amp;TEXT(SUMPRODUCT(($B$3:$B13&lt;&gt;"")*($C$3:$C13&lt;&gt;"")*($H$3:$H13&lt;&gt;"")),"000"))</f>
        <v/>
      </c>
      <c r="B13" s="14"/>
      <c r="C13" s="14"/>
      <c r="D13" s="10" t="str">
        <f>IF($C13="","",IFERROR(INDEX(Recursos!$D$2:$D$201,MATCH($C13,Recursos!$A$2:$A$201,0)),""))</f>
        <v/>
      </c>
      <c r="E13" s="10" t="str">
        <f>IF($C13="","",IFERROR(INDEX(Recursos!$B$2:$B$201,MATCH($C13,Recursos!$A$2:$A$201,0)),""))</f>
        <v/>
      </c>
      <c r="F13" s="10" t="str">
        <f>IF($C13="","",IFERROR(INDEX(Recursos!$F$2:$F$201,MATCH($C13,Recursos!$A$2:$A$201,0)),""))</f>
        <v/>
      </c>
      <c r="G13" s="18" t="str">
        <f>IF($C13="","",IFERROR(INDEX(Recursos!$G$2:$G$201,MATCH($C13,Recursos!$A$2:$A$201,0)),""))</f>
        <v/>
      </c>
      <c r="H13" s="11" t="s">
        <v>35</v>
      </c>
    </row>
    <row r="14" spans="1:8" x14ac:dyDescent="0.25">
      <c r="A14" s="10" t="str">
        <f>IF(OR($B14="",$C14="",$H14=""),"",PREFIJO_OPE&amp;TEXT(SUMPRODUCT(($B$3:$B14&lt;&gt;"")*($C$3:$C14&lt;&gt;"")*($H$3:$H14&lt;&gt;"")),"000"))</f>
        <v/>
      </c>
      <c r="B14" s="14"/>
      <c r="C14" s="14"/>
      <c r="D14" s="10" t="str">
        <f>IF($C14="","",IFERROR(INDEX(Recursos!$D$2:$D$201,MATCH($C14,Recursos!$A$2:$A$201,0)),""))</f>
        <v/>
      </c>
      <c r="E14" s="10" t="str">
        <f>IF($C14="","",IFERROR(INDEX(Recursos!$B$2:$B$201,MATCH($C14,Recursos!$A$2:$A$201,0)),""))</f>
        <v/>
      </c>
      <c r="F14" s="10" t="str">
        <f>IF($C14="","",IFERROR(INDEX(Recursos!$F$2:$F$201,MATCH($C14,Recursos!$A$2:$A$201,0)),""))</f>
        <v/>
      </c>
      <c r="G14" s="18" t="str">
        <f>IF($C14="","",IFERROR(INDEX(Recursos!$G$2:$G$201,MATCH($C14,Recursos!$A$2:$A$201,0)),""))</f>
        <v/>
      </c>
      <c r="H14" s="11" t="s">
        <v>35</v>
      </c>
    </row>
    <row r="15" spans="1:8" x14ac:dyDescent="0.25">
      <c r="A15" s="10" t="str">
        <f>IF(OR($B15="",$C15="",$H15=""),"",PREFIJO_OPE&amp;TEXT(SUMPRODUCT(($B$3:$B15&lt;&gt;"")*($C$3:$C15&lt;&gt;"")*($H$3:$H15&lt;&gt;"")),"000"))</f>
        <v/>
      </c>
      <c r="B15" s="14"/>
      <c r="C15" s="14"/>
      <c r="D15" s="10" t="str">
        <f>IF($C15="","",IFERROR(INDEX(Recursos!$D$2:$D$201,MATCH($C15,Recursos!$A$2:$A$201,0)),""))</f>
        <v/>
      </c>
      <c r="E15" s="10" t="str">
        <f>IF($C15="","",IFERROR(INDEX(Recursos!$B$2:$B$201,MATCH($C15,Recursos!$A$2:$A$201,0)),""))</f>
        <v/>
      </c>
      <c r="F15" s="10" t="str">
        <f>IF($C15="","",IFERROR(INDEX(Recursos!$F$2:$F$201,MATCH($C15,Recursos!$A$2:$A$201,0)),""))</f>
        <v/>
      </c>
      <c r="G15" s="18" t="str">
        <f>IF($C15="","",IFERROR(INDEX(Recursos!$G$2:$G$201,MATCH($C15,Recursos!$A$2:$A$201,0)),""))</f>
        <v/>
      </c>
      <c r="H15" s="11" t="s">
        <v>35</v>
      </c>
    </row>
    <row r="16" spans="1:8" x14ac:dyDescent="0.25">
      <c r="A16" s="10" t="str">
        <f>IF(OR($B16="",$C16="",$H16=""),"",PREFIJO_OPE&amp;TEXT(SUMPRODUCT(($B$3:$B16&lt;&gt;"")*($C$3:$C16&lt;&gt;"")*($H$3:$H16&lt;&gt;"")),"000"))</f>
        <v/>
      </c>
      <c r="B16" s="14"/>
      <c r="C16" s="14"/>
      <c r="D16" s="10" t="str">
        <f>IF($C16="","",IFERROR(INDEX(Recursos!$D$2:$D$201,MATCH($C16,Recursos!$A$2:$A$201,0)),""))</f>
        <v/>
      </c>
      <c r="E16" s="10" t="str">
        <f>IF($C16="","",IFERROR(INDEX(Recursos!$B$2:$B$201,MATCH($C16,Recursos!$A$2:$A$201,0)),""))</f>
        <v/>
      </c>
      <c r="F16" s="10" t="str">
        <f>IF($C16="","",IFERROR(INDEX(Recursos!$F$2:$F$201,MATCH($C16,Recursos!$A$2:$A$201,0)),""))</f>
        <v/>
      </c>
      <c r="G16" s="18" t="str">
        <f>IF($C16="","",IFERROR(INDEX(Recursos!$G$2:$G$201,MATCH($C16,Recursos!$A$2:$A$201,0)),""))</f>
        <v/>
      </c>
      <c r="H16" s="11" t="s">
        <v>35</v>
      </c>
    </row>
    <row r="17" spans="1:8" x14ac:dyDescent="0.25">
      <c r="A17" s="10" t="str">
        <f>IF(OR($B17="",$C17="",$H17=""),"",PREFIJO_OPE&amp;TEXT(SUMPRODUCT(($B$3:$B17&lt;&gt;"")*($C$3:$C17&lt;&gt;"")*($H$3:$H17&lt;&gt;"")),"000"))</f>
        <v/>
      </c>
      <c r="B17" s="14"/>
      <c r="C17" s="14"/>
      <c r="D17" s="10" t="str">
        <f>IF($C17="","",IFERROR(INDEX(Recursos!$D$2:$D$201,MATCH($C17,Recursos!$A$2:$A$201,0)),""))</f>
        <v/>
      </c>
      <c r="E17" s="10" t="str">
        <f>IF($C17="","",IFERROR(INDEX(Recursos!$B$2:$B$201,MATCH($C17,Recursos!$A$2:$A$201,0)),""))</f>
        <v/>
      </c>
      <c r="F17" s="10" t="str">
        <f>IF($C17="","",IFERROR(INDEX(Recursos!$F$2:$F$201,MATCH($C17,Recursos!$A$2:$A$201,0)),""))</f>
        <v/>
      </c>
      <c r="G17" s="18" t="str">
        <f>IF($C17="","",IFERROR(INDEX(Recursos!$G$2:$G$201,MATCH($C17,Recursos!$A$2:$A$201,0)),""))</f>
        <v/>
      </c>
      <c r="H17" s="11" t="s">
        <v>35</v>
      </c>
    </row>
    <row r="18" spans="1:8" x14ac:dyDescent="0.25">
      <c r="A18" s="10" t="str">
        <f>IF(OR($B18="",$C18="",$H18=""),"",PREFIJO_OPE&amp;TEXT(SUMPRODUCT(($B$3:$B18&lt;&gt;"")*($C$3:$C18&lt;&gt;"")*($H$3:$H18&lt;&gt;"")),"000"))</f>
        <v/>
      </c>
      <c r="B18" s="14"/>
      <c r="C18" s="14"/>
      <c r="D18" s="10" t="str">
        <f>IF($C18="","",IFERROR(INDEX(Recursos!$D$2:$D$201,MATCH($C18,Recursos!$A$2:$A$201,0)),""))</f>
        <v/>
      </c>
      <c r="E18" s="10" t="str">
        <f>IF($C18="","",IFERROR(INDEX(Recursos!$B$2:$B$201,MATCH($C18,Recursos!$A$2:$A$201,0)),""))</f>
        <v/>
      </c>
      <c r="F18" s="10" t="str">
        <f>IF($C18="","",IFERROR(INDEX(Recursos!$F$2:$F$201,MATCH($C18,Recursos!$A$2:$A$201,0)),""))</f>
        <v/>
      </c>
      <c r="G18" s="18" t="str">
        <f>IF($C18="","",IFERROR(INDEX(Recursos!$G$2:$G$201,MATCH($C18,Recursos!$A$2:$A$201,0)),""))</f>
        <v/>
      </c>
      <c r="H18" s="11" t="s">
        <v>35</v>
      </c>
    </row>
    <row r="19" spans="1:8" x14ac:dyDescent="0.25">
      <c r="A19" s="10" t="str">
        <f>IF(OR($B19="",$C19="",$H19=""),"",PREFIJO_OPE&amp;TEXT(SUMPRODUCT(($B$3:$B19&lt;&gt;"")*($C$3:$C19&lt;&gt;"")*($H$3:$H19&lt;&gt;"")),"000"))</f>
        <v/>
      </c>
      <c r="B19" s="14"/>
      <c r="C19" s="14"/>
      <c r="D19" s="10" t="str">
        <f>IF($C19="","",IFERROR(INDEX(Recursos!$D$2:$D$201,MATCH($C19,Recursos!$A$2:$A$201,0)),""))</f>
        <v/>
      </c>
      <c r="E19" s="10" t="str">
        <f>IF($C19="","",IFERROR(INDEX(Recursos!$B$2:$B$201,MATCH($C19,Recursos!$A$2:$A$201,0)),""))</f>
        <v/>
      </c>
      <c r="F19" s="10" t="str">
        <f>IF($C19="","",IFERROR(INDEX(Recursos!$F$2:$F$201,MATCH($C19,Recursos!$A$2:$A$201,0)),""))</f>
        <v/>
      </c>
      <c r="G19" s="18" t="str">
        <f>IF($C19="","",IFERROR(INDEX(Recursos!$G$2:$G$201,MATCH($C19,Recursos!$A$2:$A$201,0)),""))</f>
        <v/>
      </c>
      <c r="H19" s="11" t="s">
        <v>35</v>
      </c>
    </row>
    <row r="20" spans="1:8" x14ac:dyDescent="0.25">
      <c r="A20" s="10" t="str">
        <f>IF(OR($B20="",$C20="",$H20=""),"",PREFIJO_OPE&amp;TEXT(SUMPRODUCT(($B$3:$B20&lt;&gt;"")*($C$3:$C20&lt;&gt;"")*($H$3:$H20&lt;&gt;"")),"000"))</f>
        <v/>
      </c>
      <c r="B20" s="14"/>
      <c r="C20" s="14"/>
      <c r="D20" s="10" t="str">
        <f>IF($C20="","",IFERROR(INDEX(Recursos!$D$2:$D$201,MATCH($C20,Recursos!$A$2:$A$201,0)),""))</f>
        <v/>
      </c>
      <c r="E20" s="10" t="str">
        <f>IF($C20="","",IFERROR(INDEX(Recursos!$B$2:$B$201,MATCH($C20,Recursos!$A$2:$A$201,0)),""))</f>
        <v/>
      </c>
      <c r="F20" s="10" t="str">
        <f>IF($C20="","",IFERROR(INDEX(Recursos!$F$2:$F$201,MATCH($C20,Recursos!$A$2:$A$201,0)),""))</f>
        <v/>
      </c>
      <c r="G20" s="18" t="str">
        <f>IF($C20="","",IFERROR(INDEX(Recursos!$G$2:$G$201,MATCH($C20,Recursos!$A$2:$A$201,0)),""))</f>
        <v/>
      </c>
      <c r="H20" s="11" t="s">
        <v>35</v>
      </c>
    </row>
    <row r="21" spans="1:8" x14ac:dyDescent="0.25">
      <c r="A21" s="10" t="str">
        <f>IF(OR($B21="",$C21="",$H21=""),"",PREFIJO_OPE&amp;TEXT(SUMPRODUCT(($B$3:$B21&lt;&gt;"")*($C$3:$C21&lt;&gt;"")*($H$3:$H21&lt;&gt;"")),"000"))</f>
        <v/>
      </c>
      <c r="B21" s="14"/>
      <c r="C21" s="14"/>
      <c r="D21" s="10" t="str">
        <f>IF($C21="","",IFERROR(INDEX(Recursos!$D$2:$D$201,MATCH($C21,Recursos!$A$2:$A$201,0)),""))</f>
        <v/>
      </c>
      <c r="E21" s="10" t="str">
        <f>IF($C21="","",IFERROR(INDEX(Recursos!$B$2:$B$201,MATCH($C21,Recursos!$A$2:$A$201,0)),""))</f>
        <v/>
      </c>
      <c r="F21" s="10" t="str">
        <f>IF($C21="","",IFERROR(INDEX(Recursos!$F$2:$F$201,MATCH($C21,Recursos!$A$2:$A$201,0)),""))</f>
        <v/>
      </c>
      <c r="G21" s="18" t="str">
        <f>IF($C21="","",IFERROR(INDEX(Recursos!$G$2:$G$201,MATCH($C21,Recursos!$A$2:$A$201,0)),""))</f>
        <v/>
      </c>
      <c r="H21" s="11" t="s">
        <v>35</v>
      </c>
    </row>
    <row r="22" spans="1:8" x14ac:dyDescent="0.25">
      <c r="A22" s="10" t="str">
        <f>IF(OR($B22="",$C22="",$H22=""),"",PREFIJO_OPE&amp;TEXT(SUMPRODUCT(($B$3:$B22&lt;&gt;"")*($C$3:$C22&lt;&gt;"")*($H$3:$H22&lt;&gt;"")),"000"))</f>
        <v/>
      </c>
      <c r="B22" s="14"/>
      <c r="C22" s="14"/>
      <c r="D22" s="10" t="str">
        <f>IF($C22="","",IFERROR(INDEX(Recursos!$D$2:$D$201,MATCH($C22,Recursos!$A$2:$A$201,0)),""))</f>
        <v/>
      </c>
      <c r="E22" s="10" t="str">
        <f>IF($C22="","",IFERROR(INDEX(Recursos!$B$2:$B$201,MATCH($C22,Recursos!$A$2:$A$201,0)),""))</f>
        <v/>
      </c>
      <c r="F22" s="10" t="str">
        <f>IF($C22="","",IFERROR(INDEX(Recursos!$F$2:$F$201,MATCH($C22,Recursos!$A$2:$A$201,0)),""))</f>
        <v/>
      </c>
      <c r="G22" s="18" t="str">
        <f>IF($C22="","",IFERROR(INDEX(Recursos!$G$2:$G$201,MATCH($C22,Recursos!$A$2:$A$201,0)),""))</f>
        <v/>
      </c>
      <c r="H22" s="11" t="s">
        <v>35</v>
      </c>
    </row>
    <row r="23" spans="1:8" x14ac:dyDescent="0.25">
      <c r="A23" s="10" t="str">
        <f>IF(OR($B23="",$C23="",$H23=""),"",PREFIJO_OPE&amp;TEXT(SUMPRODUCT(($B$3:$B23&lt;&gt;"")*($C$3:$C23&lt;&gt;"")*($H$3:$H23&lt;&gt;"")),"000"))</f>
        <v/>
      </c>
      <c r="B23" s="14"/>
      <c r="C23" s="14"/>
      <c r="D23" s="10" t="str">
        <f>IF($C23="","",IFERROR(INDEX(Recursos!$D$2:$D$201,MATCH($C23,Recursos!$A$2:$A$201,0)),""))</f>
        <v/>
      </c>
      <c r="E23" s="10" t="str">
        <f>IF($C23="","",IFERROR(INDEX(Recursos!$B$2:$B$201,MATCH($C23,Recursos!$A$2:$A$201,0)),""))</f>
        <v/>
      </c>
      <c r="F23" s="10" t="str">
        <f>IF($C23="","",IFERROR(INDEX(Recursos!$F$2:$F$201,MATCH($C23,Recursos!$A$2:$A$201,0)),""))</f>
        <v/>
      </c>
      <c r="G23" s="18" t="str">
        <f>IF($C23="","",IFERROR(INDEX(Recursos!$G$2:$G$201,MATCH($C23,Recursos!$A$2:$A$201,0)),""))</f>
        <v/>
      </c>
      <c r="H23" s="11" t="s">
        <v>35</v>
      </c>
    </row>
    <row r="24" spans="1:8" x14ac:dyDescent="0.25">
      <c r="A24" s="10" t="str">
        <f>IF(OR($B24="",$C24="",$H24=""),"",PREFIJO_OPE&amp;TEXT(SUMPRODUCT(($B$3:$B24&lt;&gt;"")*($C$3:$C24&lt;&gt;"")*($H$3:$H24&lt;&gt;"")),"000"))</f>
        <v/>
      </c>
      <c r="B24" s="14"/>
      <c r="C24" s="14"/>
      <c r="D24" s="10" t="str">
        <f>IF($C24="","",IFERROR(INDEX(Recursos!$D$2:$D$201,MATCH($C24,Recursos!$A$2:$A$201,0)),""))</f>
        <v/>
      </c>
      <c r="E24" s="10" t="str">
        <f>IF($C24="","",IFERROR(INDEX(Recursos!$B$2:$B$201,MATCH($C24,Recursos!$A$2:$A$201,0)),""))</f>
        <v/>
      </c>
      <c r="F24" s="10" t="str">
        <f>IF($C24="","",IFERROR(INDEX(Recursos!$F$2:$F$201,MATCH($C24,Recursos!$A$2:$A$201,0)),""))</f>
        <v/>
      </c>
      <c r="G24" s="18" t="str">
        <f>IF($C24="","",IFERROR(INDEX(Recursos!$G$2:$G$201,MATCH($C24,Recursos!$A$2:$A$201,0)),""))</f>
        <v/>
      </c>
      <c r="H24" s="11" t="s">
        <v>35</v>
      </c>
    </row>
    <row r="25" spans="1:8" x14ac:dyDescent="0.25">
      <c r="A25" s="10" t="str">
        <f>IF(OR($B25="",$C25="",$H25=""),"",PREFIJO_OPE&amp;TEXT(SUMPRODUCT(($B$3:$B25&lt;&gt;"")*($C$3:$C25&lt;&gt;"")*($H$3:$H25&lt;&gt;"")),"000"))</f>
        <v/>
      </c>
      <c r="B25" s="14"/>
      <c r="C25" s="14"/>
      <c r="D25" s="10" t="str">
        <f>IF($C25="","",IFERROR(INDEX(Recursos!$D$2:$D$201,MATCH($C25,Recursos!$A$2:$A$201,0)),""))</f>
        <v/>
      </c>
      <c r="E25" s="10" t="str">
        <f>IF($C25="","",IFERROR(INDEX(Recursos!$B$2:$B$201,MATCH($C25,Recursos!$A$2:$A$201,0)),""))</f>
        <v/>
      </c>
      <c r="F25" s="10" t="str">
        <f>IF($C25="","",IFERROR(INDEX(Recursos!$F$2:$F$201,MATCH($C25,Recursos!$A$2:$A$201,0)),""))</f>
        <v/>
      </c>
      <c r="G25" s="18" t="str">
        <f>IF($C25="","",IFERROR(INDEX(Recursos!$G$2:$G$201,MATCH($C25,Recursos!$A$2:$A$201,0)),""))</f>
        <v/>
      </c>
      <c r="H25" s="11" t="s">
        <v>35</v>
      </c>
    </row>
    <row r="26" spans="1:8" x14ac:dyDescent="0.25">
      <c r="A26" s="10" t="str">
        <f>IF(OR($B26="",$C26="",$H26=""),"",PREFIJO_OPE&amp;TEXT(SUMPRODUCT(($B$3:$B26&lt;&gt;"")*($C$3:$C26&lt;&gt;"")*($H$3:$H26&lt;&gt;"")),"000"))</f>
        <v/>
      </c>
      <c r="B26" s="14"/>
      <c r="C26" s="14"/>
      <c r="D26" s="10" t="str">
        <f>IF($C26="","",IFERROR(INDEX(Recursos!$D$2:$D$201,MATCH($C26,Recursos!$A$2:$A$201,0)),""))</f>
        <v/>
      </c>
      <c r="E26" s="10" t="str">
        <f>IF($C26="","",IFERROR(INDEX(Recursos!$B$2:$B$201,MATCH($C26,Recursos!$A$2:$A$201,0)),""))</f>
        <v/>
      </c>
      <c r="F26" s="10" t="str">
        <f>IF($C26="","",IFERROR(INDEX(Recursos!$F$2:$F$201,MATCH($C26,Recursos!$A$2:$A$201,0)),""))</f>
        <v/>
      </c>
      <c r="G26" s="18" t="str">
        <f>IF($C26="","",IFERROR(INDEX(Recursos!$G$2:$G$201,MATCH($C26,Recursos!$A$2:$A$201,0)),""))</f>
        <v/>
      </c>
      <c r="H26" s="11" t="s">
        <v>35</v>
      </c>
    </row>
    <row r="27" spans="1:8" x14ac:dyDescent="0.25">
      <c r="A27" s="10" t="str">
        <f>IF(OR($B27="",$C27="",$H27=""),"",PREFIJO_OPE&amp;TEXT(SUMPRODUCT(($B$3:$B27&lt;&gt;"")*($C$3:$C27&lt;&gt;"")*($H$3:$H27&lt;&gt;"")),"000"))</f>
        <v/>
      </c>
      <c r="B27" s="14"/>
      <c r="C27" s="14"/>
      <c r="D27" s="10" t="str">
        <f>IF($C27="","",IFERROR(INDEX(Recursos!$D$2:$D$201,MATCH($C27,Recursos!$A$2:$A$201,0)),""))</f>
        <v/>
      </c>
      <c r="E27" s="10" t="str">
        <f>IF($C27="","",IFERROR(INDEX(Recursos!$B$2:$B$201,MATCH($C27,Recursos!$A$2:$A$201,0)),""))</f>
        <v/>
      </c>
      <c r="F27" s="10" t="str">
        <f>IF($C27="","",IFERROR(INDEX(Recursos!$F$2:$F$201,MATCH($C27,Recursos!$A$2:$A$201,0)),""))</f>
        <v/>
      </c>
      <c r="G27" s="18" t="str">
        <f>IF($C27="","",IFERROR(INDEX(Recursos!$G$2:$G$201,MATCH($C27,Recursos!$A$2:$A$201,0)),""))</f>
        <v/>
      </c>
      <c r="H27" s="11" t="s">
        <v>35</v>
      </c>
    </row>
    <row r="28" spans="1:8" x14ac:dyDescent="0.25">
      <c r="A28" s="10" t="str">
        <f>IF(OR($B28="",$C28="",$H28=""),"",PREFIJO_OPE&amp;TEXT(SUMPRODUCT(($B$3:$B28&lt;&gt;"")*($C$3:$C28&lt;&gt;"")*($H$3:$H28&lt;&gt;"")),"000"))</f>
        <v/>
      </c>
      <c r="B28" s="14"/>
      <c r="C28" s="14"/>
      <c r="D28" s="10" t="str">
        <f>IF($C28="","",IFERROR(INDEX(Recursos!$D$2:$D$201,MATCH($C28,Recursos!$A$2:$A$201,0)),""))</f>
        <v/>
      </c>
      <c r="E28" s="10" t="str">
        <f>IF($C28="","",IFERROR(INDEX(Recursos!$B$2:$B$201,MATCH($C28,Recursos!$A$2:$A$201,0)),""))</f>
        <v/>
      </c>
      <c r="F28" s="10" t="str">
        <f>IF($C28="","",IFERROR(INDEX(Recursos!$F$2:$F$201,MATCH($C28,Recursos!$A$2:$A$201,0)),""))</f>
        <v/>
      </c>
      <c r="G28" s="18" t="str">
        <f>IF($C28="","",IFERROR(INDEX(Recursos!$G$2:$G$201,MATCH($C28,Recursos!$A$2:$A$201,0)),""))</f>
        <v/>
      </c>
      <c r="H28" s="11" t="s">
        <v>35</v>
      </c>
    </row>
    <row r="29" spans="1:8" x14ac:dyDescent="0.25">
      <c r="A29" s="10" t="str">
        <f>IF(OR($B29="",$C29="",$H29=""),"",PREFIJO_OPE&amp;TEXT(SUMPRODUCT(($B$3:$B29&lt;&gt;"")*($C$3:$C29&lt;&gt;"")*($H$3:$H29&lt;&gt;"")),"000"))</f>
        <v/>
      </c>
      <c r="B29" s="14"/>
      <c r="C29" s="14"/>
      <c r="D29" s="10" t="str">
        <f>IF($C29="","",IFERROR(INDEX(Recursos!$D$2:$D$201,MATCH($C29,Recursos!$A$2:$A$201,0)),""))</f>
        <v/>
      </c>
      <c r="E29" s="10" t="str">
        <f>IF($C29="","",IFERROR(INDEX(Recursos!$B$2:$B$201,MATCH($C29,Recursos!$A$2:$A$201,0)),""))</f>
        <v/>
      </c>
      <c r="F29" s="10" t="str">
        <f>IF($C29="","",IFERROR(INDEX(Recursos!$F$2:$F$201,MATCH($C29,Recursos!$A$2:$A$201,0)),""))</f>
        <v/>
      </c>
      <c r="G29" s="18" t="str">
        <f>IF($C29="","",IFERROR(INDEX(Recursos!$G$2:$G$201,MATCH($C29,Recursos!$A$2:$A$201,0)),""))</f>
        <v/>
      </c>
      <c r="H29" s="11" t="s">
        <v>35</v>
      </c>
    </row>
    <row r="30" spans="1:8" x14ac:dyDescent="0.25">
      <c r="A30" s="10" t="str">
        <f>IF(OR($B30="",$C30="",$H30=""),"",PREFIJO_OPE&amp;TEXT(SUMPRODUCT(($B$3:$B30&lt;&gt;"")*($C$3:$C30&lt;&gt;"")*($H$3:$H30&lt;&gt;"")),"000"))</f>
        <v/>
      </c>
      <c r="B30" s="14"/>
      <c r="C30" s="14"/>
      <c r="D30" s="10" t="str">
        <f>IF($C30="","",IFERROR(INDEX(Recursos!$D$2:$D$201,MATCH($C30,Recursos!$A$2:$A$201,0)),""))</f>
        <v/>
      </c>
      <c r="E30" s="10" t="str">
        <f>IF($C30="","",IFERROR(INDEX(Recursos!$B$2:$B$201,MATCH($C30,Recursos!$A$2:$A$201,0)),""))</f>
        <v/>
      </c>
      <c r="F30" s="10" t="str">
        <f>IF($C30="","",IFERROR(INDEX(Recursos!$F$2:$F$201,MATCH($C30,Recursos!$A$2:$A$201,0)),""))</f>
        <v/>
      </c>
      <c r="G30" s="18" t="str">
        <f>IF($C30="","",IFERROR(INDEX(Recursos!$G$2:$G$201,MATCH($C30,Recursos!$A$2:$A$201,0)),""))</f>
        <v/>
      </c>
      <c r="H30" s="11" t="s">
        <v>35</v>
      </c>
    </row>
    <row r="31" spans="1:8" x14ac:dyDescent="0.25">
      <c r="A31" s="10" t="str">
        <f>IF(OR($B31="",$C31="",$H31=""),"",PREFIJO_OPE&amp;TEXT(SUMPRODUCT(($B$3:$B31&lt;&gt;"")*($C$3:$C31&lt;&gt;"")*($H$3:$H31&lt;&gt;"")),"000"))</f>
        <v/>
      </c>
      <c r="B31" s="14"/>
      <c r="C31" s="14"/>
      <c r="D31" s="10" t="str">
        <f>IF($C31="","",IFERROR(INDEX(Recursos!$D$2:$D$201,MATCH($C31,Recursos!$A$2:$A$201,0)),""))</f>
        <v/>
      </c>
      <c r="E31" s="10" t="str">
        <f>IF($C31="","",IFERROR(INDEX(Recursos!$B$2:$B$201,MATCH($C31,Recursos!$A$2:$A$201,0)),""))</f>
        <v/>
      </c>
      <c r="F31" s="10" t="str">
        <f>IF($C31="","",IFERROR(INDEX(Recursos!$F$2:$F$201,MATCH($C31,Recursos!$A$2:$A$201,0)),""))</f>
        <v/>
      </c>
      <c r="G31" s="18" t="str">
        <f>IF($C31="","",IFERROR(INDEX(Recursos!$G$2:$G$201,MATCH($C31,Recursos!$A$2:$A$201,0)),""))</f>
        <v/>
      </c>
      <c r="H31" s="11" t="s">
        <v>35</v>
      </c>
    </row>
    <row r="32" spans="1:8" x14ac:dyDescent="0.25">
      <c r="A32" s="10" t="str">
        <f>IF(OR($B32="",$C32="",$H32=""),"",PREFIJO_OPE&amp;TEXT(SUMPRODUCT(($B$3:$B32&lt;&gt;"")*($C$3:$C32&lt;&gt;"")*($H$3:$H32&lt;&gt;"")),"000"))</f>
        <v/>
      </c>
      <c r="B32" s="14"/>
      <c r="C32" s="14"/>
      <c r="D32" s="10" t="str">
        <f>IF($C32="","",IFERROR(INDEX(Recursos!$D$2:$D$201,MATCH($C32,Recursos!$A$2:$A$201,0)),""))</f>
        <v/>
      </c>
      <c r="E32" s="10" t="str">
        <f>IF($C32="","",IFERROR(INDEX(Recursos!$B$2:$B$201,MATCH($C32,Recursos!$A$2:$A$201,0)),""))</f>
        <v/>
      </c>
      <c r="F32" s="10" t="str">
        <f>IF($C32="","",IFERROR(INDEX(Recursos!$F$2:$F$201,MATCH($C32,Recursos!$A$2:$A$201,0)),""))</f>
        <v/>
      </c>
      <c r="G32" s="18" t="str">
        <f>IF($C32="","",IFERROR(INDEX(Recursos!$G$2:$G$201,MATCH($C32,Recursos!$A$2:$A$201,0)),""))</f>
        <v/>
      </c>
      <c r="H32" s="11" t="s">
        <v>35</v>
      </c>
    </row>
    <row r="33" spans="1:8" x14ac:dyDescent="0.25">
      <c r="A33" s="10" t="str">
        <f>IF(OR($B33="",$C33="",$H33=""),"",PREFIJO_OPE&amp;TEXT(SUMPRODUCT(($B$3:$B33&lt;&gt;"")*($C$3:$C33&lt;&gt;"")*($H$3:$H33&lt;&gt;"")),"000"))</f>
        <v/>
      </c>
      <c r="B33" s="14"/>
      <c r="C33" s="14"/>
      <c r="D33" s="10" t="str">
        <f>IF($C33="","",IFERROR(INDEX(Recursos!$D$2:$D$201,MATCH($C33,Recursos!$A$2:$A$201,0)),""))</f>
        <v/>
      </c>
      <c r="E33" s="10" t="str">
        <f>IF($C33="","",IFERROR(INDEX(Recursos!$B$2:$B$201,MATCH($C33,Recursos!$A$2:$A$201,0)),""))</f>
        <v/>
      </c>
      <c r="F33" s="10" t="str">
        <f>IF($C33="","",IFERROR(INDEX(Recursos!$F$2:$F$201,MATCH($C33,Recursos!$A$2:$A$201,0)),""))</f>
        <v/>
      </c>
      <c r="G33" s="18" t="str">
        <f>IF($C33="","",IFERROR(INDEX(Recursos!$G$2:$G$201,MATCH($C33,Recursos!$A$2:$A$201,0)),""))</f>
        <v/>
      </c>
      <c r="H33" s="11" t="s">
        <v>35</v>
      </c>
    </row>
    <row r="34" spans="1:8" x14ac:dyDescent="0.25">
      <c r="A34" s="10" t="str">
        <f>IF(OR($B34="",$C34="",$H34=""),"",PREFIJO_OPE&amp;TEXT(SUMPRODUCT(($B$3:$B34&lt;&gt;"")*($C$3:$C34&lt;&gt;"")*($H$3:$H34&lt;&gt;"")),"000"))</f>
        <v/>
      </c>
      <c r="B34" s="14"/>
      <c r="C34" s="14"/>
      <c r="D34" s="10" t="str">
        <f>IF($C34="","",IFERROR(INDEX(Recursos!$D$2:$D$201,MATCH($C34,Recursos!$A$2:$A$201,0)),""))</f>
        <v/>
      </c>
      <c r="E34" s="10" t="str">
        <f>IF($C34="","",IFERROR(INDEX(Recursos!$B$2:$B$201,MATCH($C34,Recursos!$A$2:$A$201,0)),""))</f>
        <v/>
      </c>
      <c r="F34" s="10" t="str">
        <f>IF($C34="","",IFERROR(INDEX(Recursos!$F$2:$F$201,MATCH($C34,Recursos!$A$2:$A$201,0)),""))</f>
        <v/>
      </c>
      <c r="G34" s="18" t="str">
        <f>IF($C34="","",IFERROR(INDEX(Recursos!$G$2:$G$201,MATCH($C34,Recursos!$A$2:$A$201,0)),""))</f>
        <v/>
      </c>
      <c r="H34" s="11" t="s">
        <v>35</v>
      </c>
    </row>
    <row r="35" spans="1:8" x14ac:dyDescent="0.25">
      <c r="A35" s="10" t="str">
        <f>IF(OR($B35="",$C35="",$H35=""),"",PREFIJO_OPE&amp;TEXT(SUMPRODUCT(($B$3:$B35&lt;&gt;"")*($C$3:$C35&lt;&gt;"")*($H$3:$H35&lt;&gt;"")),"000"))</f>
        <v/>
      </c>
      <c r="B35" s="14"/>
      <c r="C35" s="14"/>
      <c r="D35" s="10" t="str">
        <f>IF($C35="","",IFERROR(INDEX(Recursos!$D$2:$D$201,MATCH($C35,Recursos!$A$2:$A$201,0)),""))</f>
        <v/>
      </c>
      <c r="E35" s="10" t="str">
        <f>IF($C35="","",IFERROR(INDEX(Recursos!$B$2:$B$201,MATCH($C35,Recursos!$A$2:$A$201,0)),""))</f>
        <v/>
      </c>
      <c r="F35" s="10" t="str">
        <f>IF($C35="","",IFERROR(INDEX(Recursos!$F$2:$F$201,MATCH($C35,Recursos!$A$2:$A$201,0)),""))</f>
        <v/>
      </c>
      <c r="G35" s="18" t="str">
        <f>IF($C35="","",IFERROR(INDEX(Recursos!$G$2:$G$201,MATCH($C35,Recursos!$A$2:$A$201,0)),""))</f>
        <v/>
      </c>
      <c r="H35" s="11" t="s">
        <v>35</v>
      </c>
    </row>
    <row r="36" spans="1:8" x14ac:dyDescent="0.25">
      <c r="A36" s="10" t="str">
        <f>IF(OR($B36="",$C36="",$H36=""),"",PREFIJO_OPE&amp;TEXT(SUMPRODUCT(($B$3:$B36&lt;&gt;"")*($C$3:$C36&lt;&gt;"")*($H$3:$H36&lt;&gt;"")),"000"))</f>
        <v/>
      </c>
      <c r="B36" s="14"/>
      <c r="C36" s="14"/>
      <c r="D36" s="10" t="str">
        <f>IF($C36="","",IFERROR(INDEX(Recursos!$D$2:$D$201,MATCH($C36,Recursos!$A$2:$A$201,0)),""))</f>
        <v/>
      </c>
      <c r="E36" s="10" t="str">
        <f>IF($C36="","",IFERROR(INDEX(Recursos!$B$2:$B$201,MATCH($C36,Recursos!$A$2:$A$201,0)),""))</f>
        <v/>
      </c>
      <c r="F36" s="10" t="str">
        <f>IF($C36="","",IFERROR(INDEX(Recursos!$F$2:$F$201,MATCH($C36,Recursos!$A$2:$A$201,0)),""))</f>
        <v/>
      </c>
      <c r="G36" s="18" t="str">
        <f>IF($C36="","",IFERROR(INDEX(Recursos!$G$2:$G$201,MATCH($C36,Recursos!$A$2:$A$201,0)),""))</f>
        <v/>
      </c>
      <c r="H36" s="11" t="s">
        <v>35</v>
      </c>
    </row>
    <row r="37" spans="1:8" x14ac:dyDescent="0.25">
      <c r="A37" s="10" t="str">
        <f>IF(OR($B37="",$C37="",$H37=""),"",PREFIJO_OPE&amp;TEXT(SUMPRODUCT(($B$3:$B37&lt;&gt;"")*($C$3:$C37&lt;&gt;"")*($H$3:$H37&lt;&gt;"")),"000"))</f>
        <v/>
      </c>
      <c r="B37" s="14"/>
      <c r="C37" s="14"/>
      <c r="D37" s="10" t="str">
        <f>IF($C37="","",IFERROR(INDEX(Recursos!$D$2:$D$201,MATCH($C37,Recursos!$A$2:$A$201,0)),""))</f>
        <v/>
      </c>
      <c r="E37" s="10" t="str">
        <f>IF($C37="","",IFERROR(INDEX(Recursos!$B$2:$B$201,MATCH($C37,Recursos!$A$2:$A$201,0)),""))</f>
        <v/>
      </c>
      <c r="F37" s="10" t="str">
        <f>IF($C37="","",IFERROR(INDEX(Recursos!$F$2:$F$201,MATCH($C37,Recursos!$A$2:$A$201,0)),""))</f>
        <v/>
      </c>
      <c r="G37" s="18" t="str">
        <f>IF($C37="","",IFERROR(INDEX(Recursos!$G$2:$G$201,MATCH($C37,Recursos!$A$2:$A$201,0)),""))</f>
        <v/>
      </c>
      <c r="H37" s="11" t="s">
        <v>35</v>
      </c>
    </row>
    <row r="38" spans="1:8" x14ac:dyDescent="0.25">
      <c r="A38" s="10" t="str">
        <f>IF(OR($B38="",$C38="",$H38=""),"",PREFIJO_OPE&amp;TEXT(SUMPRODUCT(($B$3:$B38&lt;&gt;"")*($C$3:$C38&lt;&gt;"")*($H$3:$H38&lt;&gt;"")),"000"))</f>
        <v/>
      </c>
      <c r="B38" s="14"/>
      <c r="C38" s="14"/>
      <c r="D38" s="10" t="str">
        <f>IF($C38="","",IFERROR(INDEX(Recursos!$D$2:$D$201,MATCH($C38,Recursos!$A$2:$A$201,0)),""))</f>
        <v/>
      </c>
      <c r="E38" s="10" t="str">
        <f>IF($C38="","",IFERROR(INDEX(Recursos!$B$2:$B$201,MATCH($C38,Recursos!$A$2:$A$201,0)),""))</f>
        <v/>
      </c>
      <c r="F38" s="10" t="str">
        <f>IF($C38="","",IFERROR(INDEX(Recursos!$F$2:$F$201,MATCH($C38,Recursos!$A$2:$A$201,0)),""))</f>
        <v/>
      </c>
      <c r="G38" s="18" t="str">
        <f>IF($C38="","",IFERROR(INDEX(Recursos!$G$2:$G$201,MATCH($C38,Recursos!$A$2:$A$201,0)),""))</f>
        <v/>
      </c>
      <c r="H38" s="11" t="s">
        <v>35</v>
      </c>
    </row>
    <row r="39" spans="1:8" x14ac:dyDescent="0.25">
      <c r="A39" s="10" t="str">
        <f>IF(OR($B39="",$C39="",$H39=""),"",PREFIJO_OPE&amp;TEXT(SUMPRODUCT(($B$3:$B39&lt;&gt;"")*($C$3:$C39&lt;&gt;"")*($H$3:$H39&lt;&gt;"")),"000"))</f>
        <v/>
      </c>
      <c r="B39" s="14"/>
      <c r="C39" s="14"/>
      <c r="D39" s="10" t="str">
        <f>IF($C39="","",IFERROR(INDEX(Recursos!$D$2:$D$201,MATCH($C39,Recursos!$A$2:$A$201,0)),""))</f>
        <v/>
      </c>
      <c r="E39" s="10" t="str">
        <f>IF($C39="","",IFERROR(INDEX(Recursos!$B$2:$B$201,MATCH($C39,Recursos!$A$2:$A$201,0)),""))</f>
        <v/>
      </c>
      <c r="F39" s="10" t="str">
        <f>IF($C39="","",IFERROR(INDEX(Recursos!$F$2:$F$201,MATCH($C39,Recursos!$A$2:$A$201,0)),""))</f>
        <v/>
      </c>
      <c r="G39" s="18" t="str">
        <f>IF($C39="","",IFERROR(INDEX(Recursos!$G$2:$G$201,MATCH($C39,Recursos!$A$2:$A$201,0)),""))</f>
        <v/>
      </c>
      <c r="H39" s="11" t="s">
        <v>35</v>
      </c>
    </row>
    <row r="40" spans="1:8" x14ac:dyDescent="0.25">
      <c r="A40" s="10" t="str">
        <f>IF(OR($B40="",$C40="",$H40=""),"",PREFIJO_OPE&amp;TEXT(SUMPRODUCT(($B$3:$B40&lt;&gt;"")*($C$3:$C40&lt;&gt;"")*($H$3:$H40&lt;&gt;"")),"000"))</f>
        <v/>
      </c>
      <c r="B40" s="14"/>
      <c r="C40" s="14"/>
      <c r="D40" s="10" t="str">
        <f>IF($C40="","",IFERROR(INDEX(Recursos!$D$2:$D$201,MATCH($C40,Recursos!$A$2:$A$201,0)),""))</f>
        <v/>
      </c>
      <c r="E40" s="10" t="str">
        <f>IF($C40="","",IFERROR(INDEX(Recursos!$B$2:$B$201,MATCH($C40,Recursos!$A$2:$A$201,0)),""))</f>
        <v/>
      </c>
      <c r="F40" s="10" t="str">
        <f>IF($C40="","",IFERROR(INDEX(Recursos!$F$2:$F$201,MATCH($C40,Recursos!$A$2:$A$201,0)),""))</f>
        <v/>
      </c>
      <c r="G40" s="18" t="str">
        <f>IF($C40="","",IFERROR(INDEX(Recursos!$G$2:$G$201,MATCH($C40,Recursos!$A$2:$A$201,0)),""))</f>
        <v/>
      </c>
      <c r="H40" s="11" t="s">
        <v>35</v>
      </c>
    </row>
    <row r="41" spans="1:8" x14ac:dyDescent="0.25">
      <c r="A41" s="10" t="str">
        <f>IF(OR($B41="",$C41="",$H41=""),"",PREFIJO_OPE&amp;TEXT(SUMPRODUCT(($B$3:$B41&lt;&gt;"")*($C$3:$C41&lt;&gt;"")*($H$3:$H41&lt;&gt;"")),"000"))</f>
        <v/>
      </c>
      <c r="B41" s="14"/>
      <c r="C41" s="14"/>
      <c r="D41" s="10" t="str">
        <f>IF($C41="","",IFERROR(INDEX(Recursos!$D$2:$D$201,MATCH($C41,Recursos!$A$2:$A$201,0)),""))</f>
        <v/>
      </c>
      <c r="E41" s="10" t="str">
        <f>IF($C41="","",IFERROR(INDEX(Recursos!$B$2:$B$201,MATCH($C41,Recursos!$A$2:$A$201,0)),""))</f>
        <v/>
      </c>
      <c r="F41" s="10" t="str">
        <f>IF($C41="","",IFERROR(INDEX(Recursos!$F$2:$F$201,MATCH($C41,Recursos!$A$2:$A$201,0)),""))</f>
        <v/>
      </c>
      <c r="G41" s="18" t="str">
        <f>IF($C41="","",IFERROR(INDEX(Recursos!$G$2:$G$201,MATCH($C41,Recursos!$A$2:$A$201,0)),""))</f>
        <v/>
      </c>
      <c r="H41" s="11" t="s">
        <v>35</v>
      </c>
    </row>
    <row r="42" spans="1:8" x14ac:dyDescent="0.25">
      <c r="A42" s="10" t="str">
        <f>IF(OR($B42="",$C42="",$H42=""),"",PREFIJO_OPE&amp;TEXT(SUMPRODUCT(($B$3:$B42&lt;&gt;"")*($C$3:$C42&lt;&gt;"")*($H$3:$H42&lt;&gt;"")),"000"))</f>
        <v/>
      </c>
      <c r="B42" s="14"/>
      <c r="C42" s="14"/>
      <c r="D42" s="10" t="str">
        <f>IF($C42="","",IFERROR(INDEX(Recursos!$D$2:$D$201,MATCH($C42,Recursos!$A$2:$A$201,0)),""))</f>
        <v/>
      </c>
      <c r="E42" s="10" t="str">
        <f>IF($C42="","",IFERROR(INDEX(Recursos!$B$2:$B$201,MATCH($C42,Recursos!$A$2:$A$201,0)),""))</f>
        <v/>
      </c>
      <c r="F42" s="10" t="str">
        <f>IF($C42="","",IFERROR(INDEX(Recursos!$F$2:$F$201,MATCH($C42,Recursos!$A$2:$A$201,0)),""))</f>
        <v/>
      </c>
      <c r="G42" s="18" t="str">
        <f>IF($C42="","",IFERROR(INDEX(Recursos!$G$2:$G$201,MATCH($C42,Recursos!$A$2:$A$201,0)),""))</f>
        <v/>
      </c>
      <c r="H42" s="11" t="s">
        <v>35</v>
      </c>
    </row>
    <row r="43" spans="1:8" x14ac:dyDescent="0.25">
      <c r="A43" s="10" t="str">
        <f>IF(OR($B43="",$C43="",$H43=""),"",PREFIJO_OPE&amp;TEXT(SUMPRODUCT(($B$3:$B43&lt;&gt;"")*($C$3:$C43&lt;&gt;"")*($H$3:$H43&lt;&gt;"")),"000"))</f>
        <v/>
      </c>
      <c r="B43" s="14"/>
      <c r="C43" s="14"/>
      <c r="D43" s="10" t="str">
        <f>IF($C43="","",IFERROR(INDEX(Recursos!$D$2:$D$201,MATCH($C43,Recursos!$A$2:$A$201,0)),""))</f>
        <v/>
      </c>
      <c r="E43" s="10" t="str">
        <f>IF($C43="","",IFERROR(INDEX(Recursos!$B$2:$B$201,MATCH($C43,Recursos!$A$2:$A$201,0)),""))</f>
        <v/>
      </c>
      <c r="F43" s="10" t="str">
        <f>IF($C43="","",IFERROR(INDEX(Recursos!$F$2:$F$201,MATCH($C43,Recursos!$A$2:$A$201,0)),""))</f>
        <v/>
      </c>
      <c r="G43" s="18" t="str">
        <f>IF($C43="","",IFERROR(INDEX(Recursos!$G$2:$G$201,MATCH($C43,Recursos!$A$2:$A$201,0)),""))</f>
        <v/>
      </c>
      <c r="H43" s="11" t="s">
        <v>35</v>
      </c>
    </row>
    <row r="44" spans="1:8" x14ac:dyDescent="0.25">
      <c r="A44" s="10" t="str">
        <f>IF(OR($B44="",$C44="",$H44=""),"",PREFIJO_OPE&amp;TEXT(SUMPRODUCT(($B$3:$B44&lt;&gt;"")*($C$3:$C44&lt;&gt;"")*($H$3:$H44&lt;&gt;"")),"000"))</f>
        <v/>
      </c>
      <c r="B44" s="14"/>
      <c r="C44" s="14"/>
      <c r="D44" s="10" t="str">
        <f>IF($C44="","",IFERROR(INDEX(Recursos!$D$2:$D$201,MATCH($C44,Recursos!$A$2:$A$201,0)),""))</f>
        <v/>
      </c>
      <c r="E44" s="10" t="str">
        <f>IF($C44="","",IFERROR(INDEX(Recursos!$B$2:$B$201,MATCH($C44,Recursos!$A$2:$A$201,0)),""))</f>
        <v/>
      </c>
      <c r="F44" s="10" t="str">
        <f>IF($C44="","",IFERROR(INDEX(Recursos!$F$2:$F$201,MATCH($C44,Recursos!$A$2:$A$201,0)),""))</f>
        <v/>
      </c>
      <c r="G44" s="18" t="str">
        <f>IF($C44="","",IFERROR(INDEX(Recursos!$G$2:$G$201,MATCH($C44,Recursos!$A$2:$A$201,0)),""))</f>
        <v/>
      </c>
      <c r="H44" s="11" t="s">
        <v>35</v>
      </c>
    </row>
    <row r="45" spans="1:8" x14ac:dyDescent="0.25">
      <c r="A45" s="10" t="str">
        <f>IF(OR($B45="",$C45="",$H45=""),"",PREFIJO_OPE&amp;TEXT(SUMPRODUCT(($B$3:$B45&lt;&gt;"")*($C$3:$C45&lt;&gt;"")*($H$3:$H45&lt;&gt;"")),"000"))</f>
        <v/>
      </c>
      <c r="B45" s="14"/>
      <c r="C45" s="14"/>
      <c r="D45" s="10" t="str">
        <f>IF($C45="","",IFERROR(INDEX(Recursos!$D$2:$D$201,MATCH($C45,Recursos!$A$2:$A$201,0)),""))</f>
        <v/>
      </c>
      <c r="E45" s="10" t="str">
        <f>IF($C45="","",IFERROR(INDEX(Recursos!$B$2:$B$201,MATCH($C45,Recursos!$A$2:$A$201,0)),""))</f>
        <v/>
      </c>
      <c r="F45" s="10" t="str">
        <f>IF($C45="","",IFERROR(INDEX(Recursos!$F$2:$F$201,MATCH($C45,Recursos!$A$2:$A$201,0)),""))</f>
        <v/>
      </c>
      <c r="G45" s="18" t="str">
        <f>IF($C45="","",IFERROR(INDEX(Recursos!$G$2:$G$201,MATCH($C45,Recursos!$A$2:$A$201,0)),""))</f>
        <v/>
      </c>
      <c r="H45" s="11" t="s">
        <v>35</v>
      </c>
    </row>
    <row r="46" spans="1:8" x14ac:dyDescent="0.25">
      <c r="A46" s="10" t="str">
        <f>IF(OR($B46="",$C46="",$H46=""),"",PREFIJO_OPE&amp;TEXT(SUMPRODUCT(($B$3:$B46&lt;&gt;"")*($C$3:$C46&lt;&gt;"")*($H$3:$H46&lt;&gt;"")),"000"))</f>
        <v/>
      </c>
      <c r="B46" s="14"/>
      <c r="C46" s="14"/>
      <c r="D46" s="10" t="str">
        <f>IF($C46="","",IFERROR(INDEX(Recursos!$D$2:$D$201,MATCH($C46,Recursos!$A$2:$A$201,0)),""))</f>
        <v/>
      </c>
      <c r="E46" s="10" t="str">
        <f>IF($C46="","",IFERROR(INDEX(Recursos!$B$2:$B$201,MATCH($C46,Recursos!$A$2:$A$201,0)),""))</f>
        <v/>
      </c>
      <c r="F46" s="10" t="str">
        <f>IF($C46="","",IFERROR(INDEX(Recursos!$F$2:$F$201,MATCH($C46,Recursos!$A$2:$A$201,0)),""))</f>
        <v/>
      </c>
      <c r="G46" s="18" t="str">
        <f>IF($C46="","",IFERROR(INDEX(Recursos!$G$2:$G$201,MATCH($C46,Recursos!$A$2:$A$201,0)),""))</f>
        <v/>
      </c>
      <c r="H46" s="11" t="s">
        <v>35</v>
      </c>
    </row>
    <row r="47" spans="1:8" x14ac:dyDescent="0.25">
      <c r="A47" s="10" t="str">
        <f>IF(OR($B47="",$C47="",$H47=""),"",PREFIJO_OPE&amp;TEXT(SUMPRODUCT(($B$3:$B47&lt;&gt;"")*($C$3:$C47&lt;&gt;"")*($H$3:$H47&lt;&gt;"")),"000"))</f>
        <v/>
      </c>
      <c r="B47" s="14"/>
      <c r="C47" s="14"/>
      <c r="D47" s="10" t="str">
        <f>IF($C47="","",IFERROR(INDEX(Recursos!$D$2:$D$201,MATCH($C47,Recursos!$A$2:$A$201,0)),""))</f>
        <v/>
      </c>
      <c r="E47" s="10" t="str">
        <f>IF($C47="","",IFERROR(INDEX(Recursos!$B$2:$B$201,MATCH($C47,Recursos!$A$2:$A$201,0)),""))</f>
        <v/>
      </c>
      <c r="F47" s="10" t="str">
        <f>IF($C47="","",IFERROR(INDEX(Recursos!$F$2:$F$201,MATCH($C47,Recursos!$A$2:$A$201,0)),""))</f>
        <v/>
      </c>
      <c r="G47" s="18" t="str">
        <f>IF($C47="","",IFERROR(INDEX(Recursos!$G$2:$G$201,MATCH($C47,Recursos!$A$2:$A$201,0)),""))</f>
        <v/>
      </c>
      <c r="H47" s="11" t="s">
        <v>35</v>
      </c>
    </row>
    <row r="48" spans="1:8" x14ac:dyDescent="0.25">
      <c r="A48" s="10" t="str">
        <f>IF(OR($B48="",$C48="",$H48=""),"",PREFIJO_OPE&amp;TEXT(SUMPRODUCT(($B$3:$B48&lt;&gt;"")*($C$3:$C48&lt;&gt;"")*($H$3:$H48&lt;&gt;"")),"000"))</f>
        <v/>
      </c>
      <c r="B48" s="14"/>
      <c r="C48" s="14"/>
      <c r="D48" s="10" t="str">
        <f>IF($C48="","",IFERROR(INDEX(Recursos!$D$2:$D$201,MATCH($C48,Recursos!$A$2:$A$201,0)),""))</f>
        <v/>
      </c>
      <c r="E48" s="10" t="str">
        <f>IF($C48="","",IFERROR(INDEX(Recursos!$B$2:$B$201,MATCH($C48,Recursos!$A$2:$A$201,0)),""))</f>
        <v/>
      </c>
      <c r="F48" s="10" t="str">
        <f>IF($C48="","",IFERROR(INDEX(Recursos!$F$2:$F$201,MATCH($C48,Recursos!$A$2:$A$201,0)),""))</f>
        <v/>
      </c>
      <c r="G48" s="18" t="str">
        <f>IF($C48="","",IFERROR(INDEX(Recursos!$G$2:$G$201,MATCH($C48,Recursos!$A$2:$A$201,0)),""))</f>
        <v/>
      </c>
      <c r="H48" s="11" t="s">
        <v>35</v>
      </c>
    </row>
    <row r="49" spans="1:8" x14ac:dyDescent="0.25">
      <c r="A49" s="10" t="str">
        <f>IF(OR($B49="",$C49="",$H49=""),"",PREFIJO_OPE&amp;TEXT(SUMPRODUCT(($B$3:$B49&lt;&gt;"")*($C$3:$C49&lt;&gt;"")*($H$3:$H49&lt;&gt;"")),"000"))</f>
        <v/>
      </c>
      <c r="B49" s="14"/>
      <c r="C49" s="14"/>
      <c r="D49" s="10" t="str">
        <f>IF($C49="","",IFERROR(INDEX(Recursos!$D$2:$D$201,MATCH($C49,Recursos!$A$2:$A$201,0)),""))</f>
        <v/>
      </c>
      <c r="E49" s="10" t="str">
        <f>IF($C49="","",IFERROR(INDEX(Recursos!$B$2:$B$201,MATCH($C49,Recursos!$A$2:$A$201,0)),""))</f>
        <v/>
      </c>
      <c r="F49" s="10" t="str">
        <f>IF($C49="","",IFERROR(INDEX(Recursos!$F$2:$F$201,MATCH($C49,Recursos!$A$2:$A$201,0)),""))</f>
        <v/>
      </c>
      <c r="G49" s="18" t="str">
        <f>IF($C49="","",IFERROR(INDEX(Recursos!$G$2:$G$201,MATCH($C49,Recursos!$A$2:$A$201,0)),""))</f>
        <v/>
      </c>
      <c r="H49" s="11" t="s">
        <v>35</v>
      </c>
    </row>
    <row r="50" spans="1:8" x14ac:dyDescent="0.25">
      <c r="A50" s="10" t="str">
        <f>IF(OR($B50="",$C50="",$H50=""),"",PREFIJO_OPE&amp;TEXT(SUMPRODUCT(($B$3:$B50&lt;&gt;"")*($C$3:$C50&lt;&gt;"")*($H$3:$H50&lt;&gt;"")),"000"))</f>
        <v/>
      </c>
      <c r="B50" s="14"/>
      <c r="C50" s="14"/>
      <c r="D50" s="10" t="str">
        <f>IF($C50="","",IFERROR(INDEX(Recursos!$D$2:$D$201,MATCH($C50,Recursos!$A$2:$A$201,0)),""))</f>
        <v/>
      </c>
      <c r="E50" s="10" t="str">
        <f>IF($C50="","",IFERROR(INDEX(Recursos!$B$2:$B$201,MATCH($C50,Recursos!$A$2:$A$201,0)),""))</f>
        <v/>
      </c>
      <c r="F50" s="10" t="str">
        <f>IF($C50="","",IFERROR(INDEX(Recursos!$F$2:$F$201,MATCH($C50,Recursos!$A$2:$A$201,0)),""))</f>
        <v/>
      </c>
      <c r="G50" s="18" t="str">
        <f>IF($C50="","",IFERROR(INDEX(Recursos!$G$2:$G$201,MATCH($C50,Recursos!$A$2:$A$201,0)),""))</f>
        <v/>
      </c>
      <c r="H50" s="11" t="s">
        <v>35</v>
      </c>
    </row>
    <row r="51" spans="1:8" x14ac:dyDescent="0.25">
      <c r="A51" s="10" t="str">
        <f>IF(OR($B51="",$C51="",$H51=""),"",PREFIJO_OPE&amp;TEXT(SUMPRODUCT(($B$3:$B51&lt;&gt;"")*($C$3:$C51&lt;&gt;"")*($H$3:$H51&lt;&gt;"")),"000"))</f>
        <v/>
      </c>
      <c r="B51" s="14"/>
      <c r="C51" s="14"/>
      <c r="D51" s="10" t="str">
        <f>IF($C51="","",IFERROR(INDEX(Recursos!$D$2:$D$201,MATCH($C51,Recursos!$A$2:$A$201,0)),""))</f>
        <v/>
      </c>
      <c r="E51" s="10" t="str">
        <f>IF($C51="","",IFERROR(INDEX(Recursos!$B$2:$B$201,MATCH($C51,Recursos!$A$2:$A$201,0)),""))</f>
        <v/>
      </c>
      <c r="F51" s="10" t="str">
        <f>IF($C51="","",IFERROR(INDEX(Recursos!$F$2:$F$201,MATCH($C51,Recursos!$A$2:$A$201,0)),""))</f>
        <v/>
      </c>
      <c r="G51" s="18" t="str">
        <f>IF($C51="","",IFERROR(INDEX(Recursos!$G$2:$G$201,MATCH($C51,Recursos!$A$2:$A$201,0)),""))</f>
        <v/>
      </c>
      <c r="H51" s="11" t="s">
        <v>35</v>
      </c>
    </row>
    <row r="52" spans="1:8" x14ac:dyDescent="0.25">
      <c r="A52" s="10" t="str">
        <f>IF(OR($B52="",$C52="",$H52=""),"",PREFIJO_OPE&amp;TEXT(SUMPRODUCT(($B$3:$B52&lt;&gt;"")*($C$3:$C52&lt;&gt;"")*($H$3:$H52&lt;&gt;"")),"000"))</f>
        <v/>
      </c>
      <c r="B52" s="14"/>
      <c r="C52" s="14"/>
      <c r="D52" s="10" t="str">
        <f>IF($C52="","",IFERROR(INDEX(Recursos!$D$2:$D$201,MATCH($C52,Recursos!$A$2:$A$201,0)),""))</f>
        <v/>
      </c>
      <c r="E52" s="10" t="str">
        <f>IF($C52="","",IFERROR(INDEX(Recursos!$B$2:$B$201,MATCH($C52,Recursos!$A$2:$A$201,0)),""))</f>
        <v/>
      </c>
      <c r="F52" s="10" t="str">
        <f>IF($C52="","",IFERROR(INDEX(Recursos!$F$2:$F$201,MATCH($C52,Recursos!$A$2:$A$201,0)),""))</f>
        <v/>
      </c>
      <c r="G52" s="18" t="str">
        <f>IF($C52="","",IFERROR(INDEX(Recursos!$G$2:$G$201,MATCH($C52,Recursos!$A$2:$A$201,0)),""))</f>
        <v/>
      </c>
      <c r="H52" s="11" t="s">
        <v>35</v>
      </c>
    </row>
    <row r="53" spans="1:8" x14ac:dyDescent="0.25">
      <c r="A53" s="10" t="str">
        <f>IF(OR($B53="",$C53="",$H53=""),"",PREFIJO_OPE&amp;TEXT(SUMPRODUCT(($B$3:$B53&lt;&gt;"")*($C$3:$C53&lt;&gt;"")*($H$3:$H53&lt;&gt;"")),"000"))</f>
        <v/>
      </c>
      <c r="B53" s="14"/>
      <c r="C53" s="14"/>
      <c r="D53" s="10" t="str">
        <f>IF($C53="","",IFERROR(INDEX(Recursos!$D$2:$D$201,MATCH($C53,Recursos!$A$2:$A$201,0)),""))</f>
        <v/>
      </c>
      <c r="E53" s="10" t="str">
        <f>IF($C53="","",IFERROR(INDEX(Recursos!$B$2:$B$201,MATCH($C53,Recursos!$A$2:$A$201,0)),""))</f>
        <v/>
      </c>
      <c r="F53" s="10" t="str">
        <f>IF($C53="","",IFERROR(INDEX(Recursos!$F$2:$F$201,MATCH($C53,Recursos!$A$2:$A$201,0)),""))</f>
        <v/>
      </c>
      <c r="G53" s="18" t="str">
        <f>IF($C53="","",IFERROR(INDEX(Recursos!$G$2:$G$201,MATCH($C53,Recursos!$A$2:$A$201,0)),""))</f>
        <v/>
      </c>
      <c r="H53" s="11" t="s">
        <v>35</v>
      </c>
    </row>
    <row r="54" spans="1:8" x14ac:dyDescent="0.25">
      <c r="A54" s="10" t="str">
        <f>IF(OR($B54="",$C54="",$H54=""),"",PREFIJO_OPE&amp;TEXT(SUMPRODUCT(($B$3:$B54&lt;&gt;"")*($C$3:$C54&lt;&gt;"")*($H$3:$H54&lt;&gt;"")),"000"))</f>
        <v/>
      </c>
      <c r="B54" s="14"/>
      <c r="C54" s="14"/>
      <c r="D54" s="10" t="str">
        <f>IF($C54="","",IFERROR(INDEX(Recursos!$D$2:$D$201,MATCH($C54,Recursos!$A$2:$A$201,0)),""))</f>
        <v/>
      </c>
      <c r="E54" s="10" t="str">
        <f>IF($C54="","",IFERROR(INDEX(Recursos!$B$2:$B$201,MATCH($C54,Recursos!$A$2:$A$201,0)),""))</f>
        <v/>
      </c>
      <c r="F54" s="10" t="str">
        <f>IF($C54="","",IFERROR(INDEX(Recursos!$F$2:$F$201,MATCH($C54,Recursos!$A$2:$A$201,0)),""))</f>
        <v/>
      </c>
      <c r="G54" s="18" t="str">
        <f>IF($C54="","",IFERROR(INDEX(Recursos!$G$2:$G$201,MATCH($C54,Recursos!$A$2:$A$201,0)),""))</f>
        <v/>
      </c>
      <c r="H54" s="11" t="s">
        <v>35</v>
      </c>
    </row>
    <row r="55" spans="1:8" x14ac:dyDescent="0.25">
      <c r="A55" s="10" t="str">
        <f>IF(OR($B55="",$C55="",$H55=""),"",PREFIJO_OPE&amp;TEXT(SUMPRODUCT(($B$3:$B55&lt;&gt;"")*($C$3:$C55&lt;&gt;"")*($H$3:$H55&lt;&gt;"")),"000"))</f>
        <v/>
      </c>
      <c r="B55" s="14"/>
      <c r="C55" s="14"/>
      <c r="D55" s="10" t="str">
        <f>IF($C55="","",IFERROR(INDEX(Recursos!$D$2:$D$201,MATCH($C55,Recursos!$A$2:$A$201,0)),""))</f>
        <v/>
      </c>
      <c r="E55" s="10" t="str">
        <f>IF($C55="","",IFERROR(INDEX(Recursos!$B$2:$B$201,MATCH($C55,Recursos!$A$2:$A$201,0)),""))</f>
        <v/>
      </c>
      <c r="F55" s="10" t="str">
        <f>IF($C55="","",IFERROR(INDEX(Recursos!$F$2:$F$201,MATCH($C55,Recursos!$A$2:$A$201,0)),""))</f>
        <v/>
      </c>
      <c r="G55" s="18" t="str">
        <f>IF($C55="","",IFERROR(INDEX(Recursos!$G$2:$G$201,MATCH($C55,Recursos!$A$2:$A$201,0)),""))</f>
        <v/>
      </c>
      <c r="H55" s="11" t="s">
        <v>35</v>
      </c>
    </row>
    <row r="56" spans="1:8" x14ac:dyDescent="0.25">
      <c r="A56" s="10" t="str">
        <f>IF(OR($B56="",$C56="",$H56=""),"",PREFIJO_OPE&amp;TEXT(SUMPRODUCT(($B$3:$B56&lt;&gt;"")*($C$3:$C56&lt;&gt;"")*($H$3:$H56&lt;&gt;"")),"000"))</f>
        <v/>
      </c>
      <c r="B56" s="14"/>
      <c r="C56" s="14"/>
      <c r="D56" s="10" t="str">
        <f>IF($C56="","",IFERROR(INDEX(Recursos!$D$2:$D$201,MATCH($C56,Recursos!$A$2:$A$201,0)),""))</f>
        <v/>
      </c>
      <c r="E56" s="10" t="str">
        <f>IF($C56="","",IFERROR(INDEX(Recursos!$B$2:$B$201,MATCH($C56,Recursos!$A$2:$A$201,0)),""))</f>
        <v/>
      </c>
      <c r="F56" s="10" t="str">
        <f>IF($C56="","",IFERROR(INDEX(Recursos!$F$2:$F$201,MATCH($C56,Recursos!$A$2:$A$201,0)),""))</f>
        <v/>
      </c>
      <c r="G56" s="18" t="str">
        <f>IF($C56="","",IFERROR(INDEX(Recursos!$G$2:$G$201,MATCH($C56,Recursos!$A$2:$A$201,0)),""))</f>
        <v/>
      </c>
      <c r="H56" s="11" t="s">
        <v>35</v>
      </c>
    </row>
    <row r="57" spans="1:8" x14ac:dyDescent="0.25">
      <c r="A57" s="10" t="str">
        <f>IF(OR($B57="",$C57="",$H57=""),"",PREFIJO_OPE&amp;TEXT(SUMPRODUCT(($B$3:$B57&lt;&gt;"")*($C$3:$C57&lt;&gt;"")*($H$3:$H57&lt;&gt;"")),"000"))</f>
        <v/>
      </c>
      <c r="B57" s="14"/>
      <c r="C57" s="14"/>
      <c r="D57" s="10" t="str">
        <f>IF($C57="","",IFERROR(INDEX(Recursos!$D$2:$D$201,MATCH($C57,Recursos!$A$2:$A$201,0)),""))</f>
        <v/>
      </c>
      <c r="E57" s="10" t="str">
        <f>IF($C57="","",IFERROR(INDEX(Recursos!$B$2:$B$201,MATCH($C57,Recursos!$A$2:$A$201,0)),""))</f>
        <v/>
      </c>
      <c r="F57" s="10" t="str">
        <f>IF($C57="","",IFERROR(INDEX(Recursos!$F$2:$F$201,MATCH($C57,Recursos!$A$2:$A$201,0)),""))</f>
        <v/>
      </c>
      <c r="G57" s="18" t="str">
        <f>IF($C57="","",IFERROR(INDEX(Recursos!$G$2:$G$201,MATCH($C57,Recursos!$A$2:$A$201,0)),""))</f>
        <v/>
      </c>
      <c r="H57" s="11" t="s">
        <v>35</v>
      </c>
    </row>
    <row r="58" spans="1:8" x14ac:dyDescent="0.25">
      <c r="A58" s="10" t="str">
        <f>IF(OR($B58="",$C58="",$H58=""),"",PREFIJO_OPE&amp;TEXT(SUMPRODUCT(($B$3:$B58&lt;&gt;"")*($C$3:$C58&lt;&gt;"")*($H$3:$H58&lt;&gt;"")),"000"))</f>
        <v/>
      </c>
      <c r="B58" s="14"/>
      <c r="C58" s="14"/>
      <c r="D58" s="10" t="str">
        <f>IF($C58="","",IFERROR(INDEX(Recursos!$D$2:$D$201,MATCH($C58,Recursos!$A$2:$A$201,0)),""))</f>
        <v/>
      </c>
      <c r="E58" s="10" t="str">
        <f>IF($C58="","",IFERROR(INDEX(Recursos!$B$2:$B$201,MATCH($C58,Recursos!$A$2:$A$201,0)),""))</f>
        <v/>
      </c>
      <c r="F58" s="10" t="str">
        <f>IF($C58="","",IFERROR(INDEX(Recursos!$F$2:$F$201,MATCH($C58,Recursos!$A$2:$A$201,0)),""))</f>
        <v/>
      </c>
      <c r="G58" s="18" t="str">
        <f>IF($C58="","",IFERROR(INDEX(Recursos!$G$2:$G$201,MATCH($C58,Recursos!$A$2:$A$201,0)),""))</f>
        <v/>
      </c>
      <c r="H58" s="11" t="s">
        <v>35</v>
      </c>
    </row>
    <row r="59" spans="1:8" x14ac:dyDescent="0.25">
      <c r="A59" s="10" t="str">
        <f>IF(OR($B59="",$C59="",$H59=""),"",PREFIJO_OPE&amp;TEXT(SUMPRODUCT(($B$3:$B59&lt;&gt;"")*($C$3:$C59&lt;&gt;"")*($H$3:$H59&lt;&gt;"")),"000"))</f>
        <v/>
      </c>
      <c r="B59" s="14"/>
      <c r="C59" s="14"/>
      <c r="D59" s="10" t="str">
        <f>IF($C59="","",IFERROR(INDEX(Recursos!$D$2:$D$201,MATCH($C59,Recursos!$A$2:$A$201,0)),""))</f>
        <v/>
      </c>
      <c r="E59" s="10" t="str">
        <f>IF($C59="","",IFERROR(INDEX(Recursos!$B$2:$B$201,MATCH($C59,Recursos!$A$2:$A$201,0)),""))</f>
        <v/>
      </c>
      <c r="F59" s="10" t="str">
        <f>IF($C59="","",IFERROR(INDEX(Recursos!$F$2:$F$201,MATCH($C59,Recursos!$A$2:$A$201,0)),""))</f>
        <v/>
      </c>
      <c r="G59" s="18" t="str">
        <f>IF($C59="","",IFERROR(INDEX(Recursos!$G$2:$G$201,MATCH($C59,Recursos!$A$2:$A$201,0)),""))</f>
        <v/>
      </c>
      <c r="H59" s="11" t="s">
        <v>35</v>
      </c>
    </row>
    <row r="60" spans="1:8" x14ac:dyDescent="0.25">
      <c r="A60" s="10" t="str">
        <f>IF(OR($B60="",$C60="",$H60=""),"",PREFIJO_OPE&amp;TEXT(SUMPRODUCT(($B$3:$B60&lt;&gt;"")*($C$3:$C60&lt;&gt;"")*($H$3:$H60&lt;&gt;"")),"000"))</f>
        <v/>
      </c>
      <c r="B60" s="14"/>
      <c r="C60" s="14"/>
      <c r="D60" s="10" t="str">
        <f>IF($C60="","",IFERROR(INDEX(Recursos!$D$2:$D$201,MATCH($C60,Recursos!$A$2:$A$201,0)),""))</f>
        <v/>
      </c>
      <c r="E60" s="10" t="str">
        <f>IF($C60="","",IFERROR(INDEX(Recursos!$B$2:$B$201,MATCH($C60,Recursos!$A$2:$A$201,0)),""))</f>
        <v/>
      </c>
      <c r="F60" s="10" t="str">
        <f>IF($C60="","",IFERROR(INDEX(Recursos!$F$2:$F$201,MATCH($C60,Recursos!$A$2:$A$201,0)),""))</f>
        <v/>
      </c>
      <c r="G60" s="18" t="str">
        <f>IF($C60="","",IFERROR(INDEX(Recursos!$G$2:$G$201,MATCH($C60,Recursos!$A$2:$A$201,0)),""))</f>
        <v/>
      </c>
      <c r="H60" s="11" t="s">
        <v>35</v>
      </c>
    </row>
    <row r="61" spans="1:8" x14ac:dyDescent="0.25">
      <c r="A61" s="10" t="str">
        <f>IF(OR($B61="",$C61="",$H61=""),"",PREFIJO_OPE&amp;TEXT(SUMPRODUCT(($B$3:$B61&lt;&gt;"")*($C$3:$C61&lt;&gt;"")*($H$3:$H61&lt;&gt;"")),"000"))</f>
        <v/>
      </c>
      <c r="B61" s="14"/>
      <c r="C61" s="14"/>
      <c r="D61" s="10" t="str">
        <f>IF($C61="","",IFERROR(INDEX(Recursos!$D$2:$D$201,MATCH($C61,Recursos!$A$2:$A$201,0)),""))</f>
        <v/>
      </c>
      <c r="E61" s="10" t="str">
        <f>IF($C61="","",IFERROR(INDEX(Recursos!$B$2:$B$201,MATCH($C61,Recursos!$A$2:$A$201,0)),""))</f>
        <v/>
      </c>
      <c r="F61" s="10" t="str">
        <f>IF($C61="","",IFERROR(INDEX(Recursos!$F$2:$F$201,MATCH($C61,Recursos!$A$2:$A$201,0)),""))</f>
        <v/>
      </c>
      <c r="G61" s="18" t="str">
        <f>IF($C61="","",IFERROR(INDEX(Recursos!$G$2:$G$201,MATCH($C61,Recursos!$A$2:$A$201,0)),""))</f>
        <v/>
      </c>
      <c r="H61" s="11" t="s">
        <v>35</v>
      </c>
    </row>
    <row r="62" spans="1:8" x14ac:dyDescent="0.25">
      <c r="A62" s="10" t="str">
        <f>IF(OR($B62="",$C62="",$H62=""),"",PREFIJO_OPE&amp;TEXT(SUMPRODUCT(($B$3:$B62&lt;&gt;"")*($C$3:$C62&lt;&gt;"")*($H$3:$H62&lt;&gt;"")),"000"))</f>
        <v/>
      </c>
      <c r="B62" s="14"/>
      <c r="C62" s="14"/>
      <c r="D62" s="10" t="str">
        <f>IF($C62="","",IFERROR(INDEX(Recursos!$D$2:$D$201,MATCH($C62,Recursos!$A$2:$A$201,0)),""))</f>
        <v/>
      </c>
      <c r="E62" s="10" t="str">
        <f>IF($C62="","",IFERROR(INDEX(Recursos!$B$2:$B$201,MATCH($C62,Recursos!$A$2:$A$201,0)),""))</f>
        <v/>
      </c>
      <c r="F62" s="10" t="str">
        <f>IF($C62="","",IFERROR(INDEX(Recursos!$F$2:$F$201,MATCH($C62,Recursos!$A$2:$A$201,0)),""))</f>
        <v/>
      </c>
      <c r="G62" s="18" t="str">
        <f>IF($C62="","",IFERROR(INDEX(Recursos!$G$2:$G$201,MATCH($C62,Recursos!$A$2:$A$201,0)),""))</f>
        <v/>
      </c>
      <c r="H62" s="11" t="s">
        <v>35</v>
      </c>
    </row>
    <row r="63" spans="1:8" x14ac:dyDescent="0.25">
      <c r="A63" s="10" t="str">
        <f>IF(OR($B63="",$C63="",$H63=""),"",PREFIJO_OPE&amp;TEXT(SUMPRODUCT(($B$3:$B63&lt;&gt;"")*($C$3:$C63&lt;&gt;"")*($H$3:$H63&lt;&gt;"")),"000"))</f>
        <v/>
      </c>
      <c r="B63" s="14"/>
      <c r="C63" s="14"/>
      <c r="D63" s="10" t="str">
        <f>IF($C63="","",IFERROR(INDEX(Recursos!$D$2:$D$201,MATCH($C63,Recursos!$A$2:$A$201,0)),""))</f>
        <v/>
      </c>
      <c r="E63" s="10" t="str">
        <f>IF($C63="","",IFERROR(INDEX(Recursos!$B$2:$B$201,MATCH($C63,Recursos!$A$2:$A$201,0)),""))</f>
        <v/>
      </c>
      <c r="F63" s="10" t="str">
        <f>IF($C63="","",IFERROR(INDEX(Recursos!$F$2:$F$201,MATCH($C63,Recursos!$A$2:$A$201,0)),""))</f>
        <v/>
      </c>
      <c r="G63" s="18" t="str">
        <f>IF($C63="","",IFERROR(INDEX(Recursos!$G$2:$G$201,MATCH($C63,Recursos!$A$2:$A$201,0)),""))</f>
        <v/>
      </c>
      <c r="H63" s="11" t="s">
        <v>35</v>
      </c>
    </row>
    <row r="64" spans="1:8" x14ac:dyDescent="0.25">
      <c r="A64" s="10" t="str">
        <f>IF(OR($B64="",$C64="",$H64=""),"",PREFIJO_OPE&amp;TEXT(SUMPRODUCT(($B$3:$B64&lt;&gt;"")*($C$3:$C64&lt;&gt;"")*($H$3:$H64&lt;&gt;"")),"000"))</f>
        <v/>
      </c>
      <c r="B64" s="14"/>
      <c r="C64" s="14"/>
      <c r="D64" s="10" t="str">
        <f>IF($C64="","",IFERROR(INDEX(Recursos!$D$2:$D$201,MATCH($C64,Recursos!$A$2:$A$201,0)),""))</f>
        <v/>
      </c>
      <c r="E64" s="10" t="str">
        <f>IF($C64="","",IFERROR(INDEX(Recursos!$B$2:$B$201,MATCH($C64,Recursos!$A$2:$A$201,0)),""))</f>
        <v/>
      </c>
      <c r="F64" s="10" t="str">
        <f>IF($C64="","",IFERROR(INDEX(Recursos!$F$2:$F$201,MATCH($C64,Recursos!$A$2:$A$201,0)),""))</f>
        <v/>
      </c>
      <c r="G64" s="18" t="str">
        <f>IF($C64="","",IFERROR(INDEX(Recursos!$G$2:$G$201,MATCH($C64,Recursos!$A$2:$A$201,0)),""))</f>
        <v/>
      </c>
      <c r="H64" s="11" t="s">
        <v>35</v>
      </c>
    </row>
    <row r="65" spans="1:8" x14ac:dyDescent="0.25">
      <c r="A65" s="10" t="str">
        <f>IF(OR($B65="",$C65="",$H65=""),"",PREFIJO_OPE&amp;TEXT(SUMPRODUCT(($B$3:$B65&lt;&gt;"")*($C$3:$C65&lt;&gt;"")*($H$3:$H65&lt;&gt;"")),"000"))</f>
        <v/>
      </c>
      <c r="B65" s="14"/>
      <c r="C65" s="14"/>
      <c r="D65" s="10" t="str">
        <f>IF($C65="","",IFERROR(INDEX(Recursos!$D$2:$D$201,MATCH($C65,Recursos!$A$2:$A$201,0)),""))</f>
        <v/>
      </c>
      <c r="E65" s="10" t="str">
        <f>IF($C65="","",IFERROR(INDEX(Recursos!$B$2:$B$201,MATCH($C65,Recursos!$A$2:$A$201,0)),""))</f>
        <v/>
      </c>
      <c r="F65" s="10" t="str">
        <f>IF($C65="","",IFERROR(INDEX(Recursos!$F$2:$F$201,MATCH($C65,Recursos!$A$2:$A$201,0)),""))</f>
        <v/>
      </c>
      <c r="G65" s="18" t="str">
        <f>IF($C65="","",IFERROR(INDEX(Recursos!$G$2:$G$201,MATCH($C65,Recursos!$A$2:$A$201,0)),""))</f>
        <v/>
      </c>
      <c r="H65" s="11" t="s">
        <v>35</v>
      </c>
    </row>
    <row r="66" spans="1:8" x14ac:dyDescent="0.25">
      <c r="A66" s="10" t="str">
        <f>IF(OR($B66="",$C66="",$H66=""),"",PREFIJO_OPE&amp;TEXT(SUMPRODUCT(($B$3:$B66&lt;&gt;"")*($C$3:$C66&lt;&gt;"")*($H$3:$H66&lt;&gt;"")),"000"))</f>
        <v/>
      </c>
      <c r="B66" s="14"/>
      <c r="C66" s="14"/>
      <c r="D66" s="10" t="str">
        <f>IF($C66="","",IFERROR(INDEX(Recursos!$D$2:$D$201,MATCH($C66,Recursos!$A$2:$A$201,0)),""))</f>
        <v/>
      </c>
      <c r="E66" s="10" t="str">
        <f>IF($C66="","",IFERROR(INDEX(Recursos!$B$2:$B$201,MATCH($C66,Recursos!$A$2:$A$201,0)),""))</f>
        <v/>
      </c>
      <c r="F66" s="10" t="str">
        <f>IF($C66="","",IFERROR(INDEX(Recursos!$F$2:$F$201,MATCH($C66,Recursos!$A$2:$A$201,0)),""))</f>
        <v/>
      </c>
      <c r="G66" s="18" t="str">
        <f>IF($C66="","",IFERROR(INDEX(Recursos!$G$2:$G$201,MATCH($C66,Recursos!$A$2:$A$201,0)),""))</f>
        <v/>
      </c>
      <c r="H66" s="11" t="s">
        <v>35</v>
      </c>
    </row>
    <row r="67" spans="1:8" x14ac:dyDescent="0.25">
      <c r="A67" s="10" t="str">
        <f>IF(OR($B67="",$C67="",$H67=""),"",PREFIJO_OPE&amp;TEXT(SUMPRODUCT(($B$3:$B67&lt;&gt;"")*($C$3:$C67&lt;&gt;"")*($H$3:$H67&lt;&gt;"")),"000"))</f>
        <v/>
      </c>
      <c r="B67" s="14"/>
      <c r="C67" s="14"/>
      <c r="D67" s="10" t="str">
        <f>IF($C67="","",IFERROR(INDEX(Recursos!$D$2:$D$201,MATCH($C67,Recursos!$A$2:$A$201,0)),""))</f>
        <v/>
      </c>
      <c r="E67" s="10" t="str">
        <f>IF($C67="","",IFERROR(INDEX(Recursos!$B$2:$B$201,MATCH($C67,Recursos!$A$2:$A$201,0)),""))</f>
        <v/>
      </c>
      <c r="F67" s="10" t="str">
        <f>IF($C67="","",IFERROR(INDEX(Recursos!$F$2:$F$201,MATCH($C67,Recursos!$A$2:$A$201,0)),""))</f>
        <v/>
      </c>
      <c r="G67" s="18" t="str">
        <f>IF($C67="","",IFERROR(INDEX(Recursos!$G$2:$G$201,MATCH($C67,Recursos!$A$2:$A$201,0)),""))</f>
        <v/>
      </c>
      <c r="H67" s="11" t="s">
        <v>35</v>
      </c>
    </row>
    <row r="68" spans="1:8" x14ac:dyDescent="0.25">
      <c r="A68" s="10" t="str">
        <f>IF(OR($B68="",$C68="",$H68=""),"",PREFIJO_OPE&amp;TEXT(SUMPRODUCT(($B$3:$B68&lt;&gt;"")*($C$3:$C68&lt;&gt;"")*($H$3:$H68&lt;&gt;"")),"000"))</f>
        <v/>
      </c>
      <c r="B68" s="14"/>
      <c r="C68" s="14"/>
      <c r="D68" s="10" t="str">
        <f>IF($C68="","",IFERROR(INDEX(Recursos!$D$2:$D$201,MATCH($C68,Recursos!$A$2:$A$201,0)),""))</f>
        <v/>
      </c>
      <c r="E68" s="10" t="str">
        <f>IF($C68="","",IFERROR(INDEX(Recursos!$B$2:$B$201,MATCH($C68,Recursos!$A$2:$A$201,0)),""))</f>
        <v/>
      </c>
      <c r="F68" s="10" t="str">
        <f>IF($C68="","",IFERROR(INDEX(Recursos!$F$2:$F$201,MATCH($C68,Recursos!$A$2:$A$201,0)),""))</f>
        <v/>
      </c>
      <c r="G68" s="18" t="str">
        <f>IF($C68="","",IFERROR(INDEX(Recursos!$G$2:$G$201,MATCH($C68,Recursos!$A$2:$A$201,0)),""))</f>
        <v/>
      </c>
      <c r="H68" s="11" t="s">
        <v>35</v>
      </c>
    </row>
    <row r="69" spans="1:8" x14ac:dyDescent="0.25">
      <c r="A69" s="10" t="str">
        <f>IF(OR($B69="",$C69="",$H69=""),"",PREFIJO_OPE&amp;TEXT(SUMPRODUCT(($B$3:$B69&lt;&gt;"")*($C$3:$C69&lt;&gt;"")*($H$3:$H69&lt;&gt;"")),"000"))</f>
        <v/>
      </c>
      <c r="B69" s="14"/>
      <c r="C69" s="14"/>
      <c r="D69" s="10" t="str">
        <f>IF($C69="","",IFERROR(INDEX(Recursos!$D$2:$D$201,MATCH($C69,Recursos!$A$2:$A$201,0)),""))</f>
        <v/>
      </c>
      <c r="E69" s="10" t="str">
        <f>IF($C69="","",IFERROR(INDEX(Recursos!$B$2:$B$201,MATCH($C69,Recursos!$A$2:$A$201,0)),""))</f>
        <v/>
      </c>
      <c r="F69" s="10" t="str">
        <f>IF($C69="","",IFERROR(INDEX(Recursos!$F$2:$F$201,MATCH($C69,Recursos!$A$2:$A$201,0)),""))</f>
        <v/>
      </c>
      <c r="G69" s="18" t="str">
        <f>IF($C69="","",IFERROR(INDEX(Recursos!$G$2:$G$201,MATCH($C69,Recursos!$A$2:$A$201,0)),""))</f>
        <v/>
      </c>
      <c r="H69" s="11" t="s">
        <v>35</v>
      </c>
    </row>
    <row r="70" spans="1:8" x14ac:dyDescent="0.25">
      <c r="A70" s="10" t="str">
        <f>IF(OR($B70="",$C70="",$H70=""),"",PREFIJO_OPE&amp;TEXT(SUMPRODUCT(($B$3:$B70&lt;&gt;"")*($C$3:$C70&lt;&gt;"")*($H$3:$H70&lt;&gt;"")),"000"))</f>
        <v/>
      </c>
      <c r="B70" s="14"/>
      <c r="C70" s="14"/>
      <c r="D70" s="10" t="str">
        <f>IF($C70="","",IFERROR(INDEX(Recursos!$D$2:$D$201,MATCH($C70,Recursos!$A$2:$A$201,0)),""))</f>
        <v/>
      </c>
      <c r="E70" s="10" t="str">
        <f>IF($C70="","",IFERROR(INDEX(Recursos!$B$2:$B$201,MATCH($C70,Recursos!$A$2:$A$201,0)),""))</f>
        <v/>
      </c>
      <c r="F70" s="10" t="str">
        <f>IF($C70="","",IFERROR(INDEX(Recursos!$F$2:$F$201,MATCH($C70,Recursos!$A$2:$A$201,0)),""))</f>
        <v/>
      </c>
      <c r="G70" s="18" t="str">
        <f>IF($C70="","",IFERROR(INDEX(Recursos!$G$2:$G$201,MATCH($C70,Recursos!$A$2:$A$201,0)),""))</f>
        <v/>
      </c>
      <c r="H70" s="11" t="s">
        <v>35</v>
      </c>
    </row>
    <row r="71" spans="1:8" x14ac:dyDescent="0.25">
      <c r="A71" s="10" t="str">
        <f>IF(OR($B71="",$C71="",$H71=""),"",PREFIJO_OPE&amp;TEXT(SUMPRODUCT(($B$3:$B71&lt;&gt;"")*($C$3:$C71&lt;&gt;"")*($H$3:$H71&lt;&gt;"")),"000"))</f>
        <v/>
      </c>
      <c r="B71" s="14"/>
      <c r="C71" s="14"/>
      <c r="D71" s="10" t="str">
        <f>IF($C71="","",IFERROR(INDEX(Recursos!$D$2:$D$201,MATCH($C71,Recursos!$A$2:$A$201,0)),""))</f>
        <v/>
      </c>
      <c r="E71" s="10" t="str">
        <f>IF($C71="","",IFERROR(INDEX(Recursos!$B$2:$B$201,MATCH($C71,Recursos!$A$2:$A$201,0)),""))</f>
        <v/>
      </c>
      <c r="F71" s="10" t="str">
        <f>IF($C71="","",IFERROR(INDEX(Recursos!$F$2:$F$201,MATCH($C71,Recursos!$A$2:$A$201,0)),""))</f>
        <v/>
      </c>
      <c r="G71" s="18" t="str">
        <f>IF($C71="","",IFERROR(INDEX(Recursos!$G$2:$G$201,MATCH($C71,Recursos!$A$2:$A$201,0)),""))</f>
        <v/>
      </c>
      <c r="H71" s="11" t="s">
        <v>35</v>
      </c>
    </row>
    <row r="72" spans="1:8" x14ac:dyDescent="0.25">
      <c r="A72" s="10" t="str">
        <f>IF(OR($B72="",$C72="",$H72=""),"",PREFIJO_OPE&amp;TEXT(SUMPRODUCT(($B$3:$B72&lt;&gt;"")*($C$3:$C72&lt;&gt;"")*($H$3:$H72&lt;&gt;"")),"000"))</f>
        <v/>
      </c>
      <c r="B72" s="14"/>
      <c r="C72" s="14"/>
      <c r="D72" s="10" t="str">
        <f>IF($C72="","",IFERROR(INDEX(Recursos!$D$2:$D$201,MATCH($C72,Recursos!$A$2:$A$201,0)),""))</f>
        <v/>
      </c>
      <c r="E72" s="10" t="str">
        <f>IF($C72="","",IFERROR(INDEX(Recursos!$B$2:$B$201,MATCH($C72,Recursos!$A$2:$A$201,0)),""))</f>
        <v/>
      </c>
      <c r="F72" s="10" t="str">
        <f>IF($C72="","",IFERROR(INDEX(Recursos!$F$2:$F$201,MATCH($C72,Recursos!$A$2:$A$201,0)),""))</f>
        <v/>
      </c>
      <c r="G72" s="18" t="str">
        <f>IF($C72="","",IFERROR(INDEX(Recursos!$G$2:$G$201,MATCH($C72,Recursos!$A$2:$A$201,0)),""))</f>
        <v/>
      </c>
      <c r="H72" s="11" t="s">
        <v>35</v>
      </c>
    </row>
    <row r="73" spans="1:8" x14ac:dyDescent="0.25">
      <c r="A73" s="10" t="str">
        <f>IF(OR($B73="",$C73="",$H73=""),"",PREFIJO_OPE&amp;TEXT(SUMPRODUCT(($B$3:$B73&lt;&gt;"")*($C$3:$C73&lt;&gt;"")*($H$3:$H73&lt;&gt;"")),"000"))</f>
        <v/>
      </c>
      <c r="B73" s="14"/>
      <c r="C73" s="14"/>
      <c r="D73" s="10" t="str">
        <f>IF($C73="","",IFERROR(INDEX(Recursos!$D$2:$D$201,MATCH($C73,Recursos!$A$2:$A$201,0)),""))</f>
        <v/>
      </c>
      <c r="E73" s="10" t="str">
        <f>IF($C73="","",IFERROR(INDEX(Recursos!$B$2:$B$201,MATCH($C73,Recursos!$A$2:$A$201,0)),""))</f>
        <v/>
      </c>
      <c r="F73" s="10" t="str">
        <f>IF($C73="","",IFERROR(INDEX(Recursos!$F$2:$F$201,MATCH($C73,Recursos!$A$2:$A$201,0)),""))</f>
        <v/>
      </c>
      <c r="G73" s="18" t="str">
        <f>IF($C73="","",IFERROR(INDEX(Recursos!$G$2:$G$201,MATCH($C73,Recursos!$A$2:$A$201,0)),""))</f>
        <v/>
      </c>
      <c r="H73" s="11" t="s">
        <v>35</v>
      </c>
    </row>
    <row r="74" spans="1:8" x14ac:dyDescent="0.25">
      <c r="A74" s="10" t="str">
        <f>IF(OR($B74="",$C74="",$H74=""),"",PREFIJO_OPE&amp;TEXT(SUMPRODUCT(($B$3:$B74&lt;&gt;"")*($C$3:$C74&lt;&gt;"")*($H$3:$H74&lt;&gt;"")),"000"))</f>
        <v/>
      </c>
      <c r="B74" s="14"/>
      <c r="C74" s="14"/>
      <c r="D74" s="10" t="str">
        <f>IF($C74="","",IFERROR(INDEX(Recursos!$D$2:$D$201,MATCH($C74,Recursos!$A$2:$A$201,0)),""))</f>
        <v/>
      </c>
      <c r="E74" s="10" t="str">
        <f>IF($C74="","",IFERROR(INDEX(Recursos!$B$2:$B$201,MATCH($C74,Recursos!$A$2:$A$201,0)),""))</f>
        <v/>
      </c>
      <c r="F74" s="10" t="str">
        <f>IF($C74="","",IFERROR(INDEX(Recursos!$F$2:$F$201,MATCH($C74,Recursos!$A$2:$A$201,0)),""))</f>
        <v/>
      </c>
      <c r="G74" s="18" t="str">
        <f>IF($C74="","",IFERROR(INDEX(Recursos!$G$2:$G$201,MATCH($C74,Recursos!$A$2:$A$201,0)),""))</f>
        <v/>
      </c>
      <c r="H74" s="11" t="s">
        <v>35</v>
      </c>
    </row>
    <row r="75" spans="1:8" x14ac:dyDescent="0.25">
      <c r="A75" s="10" t="str">
        <f>IF(OR($B75="",$C75="",$H75=""),"",PREFIJO_OPE&amp;TEXT(SUMPRODUCT(($B$3:$B75&lt;&gt;"")*($C$3:$C75&lt;&gt;"")*($H$3:$H75&lt;&gt;"")),"000"))</f>
        <v/>
      </c>
      <c r="B75" s="14"/>
      <c r="C75" s="14"/>
      <c r="D75" s="10" t="str">
        <f>IF($C75="","",IFERROR(INDEX(Recursos!$D$2:$D$201,MATCH($C75,Recursos!$A$2:$A$201,0)),""))</f>
        <v/>
      </c>
      <c r="E75" s="10" t="str">
        <f>IF($C75="","",IFERROR(INDEX(Recursos!$B$2:$B$201,MATCH($C75,Recursos!$A$2:$A$201,0)),""))</f>
        <v/>
      </c>
      <c r="F75" s="10" t="str">
        <f>IF($C75="","",IFERROR(INDEX(Recursos!$F$2:$F$201,MATCH($C75,Recursos!$A$2:$A$201,0)),""))</f>
        <v/>
      </c>
      <c r="G75" s="18" t="str">
        <f>IF($C75="","",IFERROR(INDEX(Recursos!$G$2:$G$201,MATCH($C75,Recursos!$A$2:$A$201,0)),""))</f>
        <v/>
      </c>
      <c r="H75" s="11" t="s">
        <v>35</v>
      </c>
    </row>
    <row r="76" spans="1:8" x14ac:dyDescent="0.25">
      <c r="A76" s="10" t="str">
        <f>IF(OR($B76="",$C76="",$H76=""),"",PREFIJO_OPE&amp;TEXT(SUMPRODUCT(($B$3:$B76&lt;&gt;"")*($C$3:$C76&lt;&gt;"")*($H$3:$H76&lt;&gt;"")),"000"))</f>
        <v/>
      </c>
      <c r="B76" s="14"/>
      <c r="C76" s="14"/>
      <c r="D76" s="10" t="str">
        <f>IF($C76="","",IFERROR(INDEX(Recursos!$D$2:$D$201,MATCH($C76,Recursos!$A$2:$A$201,0)),""))</f>
        <v/>
      </c>
      <c r="E76" s="10" t="str">
        <f>IF($C76="","",IFERROR(INDEX(Recursos!$B$2:$B$201,MATCH($C76,Recursos!$A$2:$A$201,0)),""))</f>
        <v/>
      </c>
      <c r="F76" s="10" t="str">
        <f>IF($C76="","",IFERROR(INDEX(Recursos!$F$2:$F$201,MATCH($C76,Recursos!$A$2:$A$201,0)),""))</f>
        <v/>
      </c>
      <c r="G76" s="18" t="str">
        <f>IF($C76="","",IFERROR(INDEX(Recursos!$G$2:$G$201,MATCH($C76,Recursos!$A$2:$A$201,0)),""))</f>
        <v/>
      </c>
      <c r="H76" s="11" t="s">
        <v>35</v>
      </c>
    </row>
    <row r="77" spans="1:8" x14ac:dyDescent="0.25">
      <c r="A77" s="10" t="str">
        <f>IF(OR($B77="",$C77="",$H77=""),"",PREFIJO_OPE&amp;TEXT(SUMPRODUCT(($B$3:$B77&lt;&gt;"")*($C$3:$C77&lt;&gt;"")*($H$3:$H77&lt;&gt;"")),"000"))</f>
        <v/>
      </c>
      <c r="B77" s="14"/>
      <c r="C77" s="14"/>
      <c r="D77" s="10" t="str">
        <f>IF($C77="","",IFERROR(INDEX(Recursos!$D$2:$D$201,MATCH($C77,Recursos!$A$2:$A$201,0)),""))</f>
        <v/>
      </c>
      <c r="E77" s="10" t="str">
        <f>IF($C77="","",IFERROR(INDEX(Recursos!$B$2:$B$201,MATCH($C77,Recursos!$A$2:$A$201,0)),""))</f>
        <v/>
      </c>
      <c r="F77" s="10" t="str">
        <f>IF($C77="","",IFERROR(INDEX(Recursos!$F$2:$F$201,MATCH($C77,Recursos!$A$2:$A$201,0)),""))</f>
        <v/>
      </c>
      <c r="G77" s="18" t="str">
        <f>IF($C77="","",IFERROR(INDEX(Recursos!$G$2:$G$201,MATCH($C77,Recursos!$A$2:$A$201,0)),""))</f>
        <v/>
      </c>
      <c r="H77" s="11" t="s">
        <v>35</v>
      </c>
    </row>
    <row r="78" spans="1:8" x14ac:dyDescent="0.25">
      <c r="A78" s="10" t="str">
        <f>IF(OR($B78="",$C78="",$H78=""),"",PREFIJO_OPE&amp;TEXT(SUMPRODUCT(($B$3:$B78&lt;&gt;"")*($C$3:$C78&lt;&gt;"")*($H$3:$H78&lt;&gt;"")),"000"))</f>
        <v/>
      </c>
      <c r="B78" s="14"/>
      <c r="C78" s="14"/>
      <c r="D78" s="10" t="str">
        <f>IF($C78="","",IFERROR(INDEX(Recursos!$D$2:$D$201,MATCH($C78,Recursos!$A$2:$A$201,0)),""))</f>
        <v/>
      </c>
      <c r="E78" s="10" t="str">
        <f>IF($C78="","",IFERROR(INDEX(Recursos!$B$2:$B$201,MATCH($C78,Recursos!$A$2:$A$201,0)),""))</f>
        <v/>
      </c>
      <c r="F78" s="10" t="str">
        <f>IF($C78="","",IFERROR(INDEX(Recursos!$F$2:$F$201,MATCH($C78,Recursos!$A$2:$A$201,0)),""))</f>
        <v/>
      </c>
      <c r="G78" s="18" t="str">
        <f>IF($C78="","",IFERROR(INDEX(Recursos!$G$2:$G$201,MATCH($C78,Recursos!$A$2:$A$201,0)),""))</f>
        <v/>
      </c>
      <c r="H78" s="11" t="s">
        <v>35</v>
      </c>
    </row>
    <row r="79" spans="1:8" x14ac:dyDescent="0.25">
      <c r="A79" s="10" t="str">
        <f>IF(OR($B79="",$C79="",$H79=""),"",PREFIJO_OPE&amp;TEXT(SUMPRODUCT(($B$3:$B79&lt;&gt;"")*($C$3:$C79&lt;&gt;"")*($H$3:$H79&lt;&gt;"")),"000"))</f>
        <v/>
      </c>
      <c r="B79" s="14"/>
      <c r="C79" s="14"/>
      <c r="D79" s="10" t="str">
        <f>IF($C79="","",IFERROR(INDEX(Recursos!$D$2:$D$201,MATCH($C79,Recursos!$A$2:$A$201,0)),""))</f>
        <v/>
      </c>
      <c r="E79" s="10" t="str">
        <f>IF($C79="","",IFERROR(INDEX(Recursos!$B$2:$B$201,MATCH($C79,Recursos!$A$2:$A$201,0)),""))</f>
        <v/>
      </c>
      <c r="F79" s="10" t="str">
        <f>IF($C79="","",IFERROR(INDEX(Recursos!$F$2:$F$201,MATCH($C79,Recursos!$A$2:$A$201,0)),""))</f>
        <v/>
      </c>
      <c r="G79" s="18" t="str">
        <f>IF($C79="","",IFERROR(INDEX(Recursos!$G$2:$G$201,MATCH($C79,Recursos!$A$2:$A$201,0)),""))</f>
        <v/>
      </c>
      <c r="H79" s="11" t="s">
        <v>35</v>
      </c>
    </row>
    <row r="80" spans="1:8" x14ac:dyDescent="0.25">
      <c r="A80" s="10" t="str">
        <f>IF(OR($B80="",$C80="",$H80=""),"",PREFIJO_OPE&amp;TEXT(SUMPRODUCT(($B$3:$B80&lt;&gt;"")*($C$3:$C80&lt;&gt;"")*($H$3:$H80&lt;&gt;"")),"000"))</f>
        <v/>
      </c>
      <c r="B80" s="14"/>
      <c r="C80" s="14"/>
      <c r="D80" s="10" t="str">
        <f>IF($C80="","",IFERROR(INDEX(Recursos!$D$2:$D$201,MATCH($C80,Recursos!$A$2:$A$201,0)),""))</f>
        <v/>
      </c>
      <c r="E80" s="10" t="str">
        <f>IF($C80="","",IFERROR(INDEX(Recursos!$B$2:$B$201,MATCH($C80,Recursos!$A$2:$A$201,0)),""))</f>
        <v/>
      </c>
      <c r="F80" s="10" t="str">
        <f>IF($C80="","",IFERROR(INDEX(Recursos!$F$2:$F$201,MATCH($C80,Recursos!$A$2:$A$201,0)),""))</f>
        <v/>
      </c>
      <c r="G80" s="18" t="str">
        <f>IF($C80="","",IFERROR(INDEX(Recursos!$G$2:$G$201,MATCH($C80,Recursos!$A$2:$A$201,0)),""))</f>
        <v/>
      </c>
      <c r="H80" s="11" t="s">
        <v>35</v>
      </c>
    </row>
    <row r="81" spans="1:8" x14ac:dyDescent="0.25">
      <c r="A81" s="10" t="str">
        <f>IF(OR($B81="",$C81="",$H81=""),"",PREFIJO_OPE&amp;TEXT(SUMPRODUCT(($B$3:$B81&lt;&gt;"")*($C$3:$C81&lt;&gt;"")*($H$3:$H81&lt;&gt;"")),"000"))</f>
        <v/>
      </c>
      <c r="B81" s="14"/>
      <c r="C81" s="14"/>
      <c r="D81" s="10" t="str">
        <f>IF($C81="","",IFERROR(INDEX(Recursos!$D$2:$D$201,MATCH($C81,Recursos!$A$2:$A$201,0)),""))</f>
        <v/>
      </c>
      <c r="E81" s="10" t="str">
        <f>IF($C81="","",IFERROR(INDEX(Recursos!$B$2:$B$201,MATCH($C81,Recursos!$A$2:$A$201,0)),""))</f>
        <v/>
      </c>
      <c r="F81" s="10" t="str">
        <f>IF($C81="","",IFERROR(INDEX(Recursos!$F$2:$F$201,MATCH($C81,Recursos!$A$2:$A$201,0)),""))</f>
        <v/>
      </c>
      <c r="G81" s="18" t="str">
        <f>IF($C81="","",IFERROR(INDEX(Recursos!$G$2:$G$201,MATCH($C81,Recursos!$A$2:$A$201,0)),""))</f>
        <v/>
      </c>
      <c r="H81" s="11" t="s">
        <v>35</v>
      </c>
    </row>
    <row r="82" spans="1:8" x14ac:dyDescent="0.25">
      <c r="A82" s="10" t="str">
        <f>IF(OR($B82="",$C82="",$H82=""),"",PREFIJO_OPE&amp;TEXT(SUMPRODUCT(($B$3:$B82&lt;&gt;"")*($C$3:$C82&lt;&gt;"")*($H$3:$H82&lt;&gt;"")),"000"))</f>
        <v/>
      </c>
      <c r="B82" s="14"/>
      <c r="C82" s="14"/>
      <c r="D82" s="10" t="str">
        <f>IF($C82="","",IFERROR(INDEX(Recursos!$D$2:$D$201,MATCH($C82,Recursos!$A$2:$A$201,0)),""))</f>
        <v/>
      </c>
      <c r="E82" s="10" t="str">
        <f>IF($C82="","",IFERROR(INDEX(Recursos!$B$2:$B$201,MATCH($C82,Recursos!$A$2:$A$201,0)),""))</f>
        <v/>
      </c>
      <c r="F82" s="10" t="str">
        <f>IF($C82="","",IFERROR(INDEX(Recursos!$F$2:$F$201,MATCH($C82,Recursos!$A$2:$A$201,0)),""))</f>
        <v/>
      </c>
      <c r="G82" s="18" t="str">
        <f>IF($C82="","",IFERROR(INDEX(Recursos!$G$2:$G$201,MATCH($C82,Recursos!$A$2:$A$201,0)),""))</f>
        <v/>
      </c>
      <c r="H82" s="11" t="s">
        <v>35</v>
      </c>
    </row>
    <row r="83" spans="1:8" x14ac:dyDescent="0.25">
      <c r="A83" s="10" t="str">
        <f>IF(OR($B83="",$C83="",$H83=""),"",PREFIJO_OPE&amp;TEXT(SUMPRODUCT(($B$3:$B83&lt;&gt;"")*($C$3:$C83&lt;&gt;"")*($H$3:$H83&lt;&gt;"")),"000"))</f>
        <v/>
      </c>
      <c r="B83" s="14"/>
      <c r="C83" s="14"/>
      <c r="D83" s="10" t="str">
        <f>IF($C83="","",IFERROR(INDEX(Recursos!$D$2:$D$201,MATCH($C83,Recursos!$A$2:$A$201,0)),""))</f>
        <v/>
      </c>
      <c r="E83" s="10" t="str">
        <f>IF($C83="","",IFERROR(INDEX(Recursos!$B$2:$B$201,MATCH($C83,Recursos!$A$2:$A$201,0)),""))</f>
        <v/>
      </c>
      <c r="F83" s="10" t="str">
        <f>IF($C83="","",IFERROR(INDEX(Recursos!$F$2:$F$201,MATCH($C83,Recursos!$A$2:$A$201,0)),""))</f>
        <v/>
      </c>
      <c r="G83" s="18" t="str">
        <f>IF($C83="","",IFERROR(INDEX(Recursos!$G$2:$G$201,MATCH($C83,Recursos!$A$2:$A$201,0)),""))</f>
        <v/>
      </c>
      <c r="H83" s="11" t="s">
        <v>35</v>
      </c>
    </row>
    <row r="84" spans="1:8" x14ac:dyDescent="0.25">
      <c r="A84" s="10" t="str">
        <f>IF(OR($B84="",$C84="",$H84=""),"",PREFIJO_OPE&amp;TEXT(SUMPRODUCT(($B$3:$B84&lt;&gt;"")*($C$3:$C84&lt;&gt;"")*($H$3:$H84&lt;&gt;"")),"000"))</f>
        <v/>
      </c>
      <c r="B84" s="14"/>
      <c r="C84" s="14"/>
      <c r="D84" s="10" t="str">
        <f>IF($C84="","",IFERROR(INDEX(Recursos!$D$2:$D$201,MATCH($C84,Recursos!$A$2:$A$201,0)),""))</f>
        <v/>
      </c>
      <c r="E84" s="10" t="str">
        <f>IF($C84="","",IFERROR(INDEX(Recursos!$B$2:$B$201,MATCH($C84,Recursos!$A$2:$A$201,0)),""))</f>
        <v/>
      </c>
      <c r="F84" s="10" t="str">
        <f>IF($C84="","",IFERROR(INDEX(Recursos!$F$2:$F$201,MATCH($C84,Recursos!$A$2:$A$201,0)),""))</f>
        <v/>
      </c>
      <c r="G84" s="18" t="str">
        <f>IF($C84="","",IFERROR(INDEX(Recursos!$G$2:$G$201,MATCH($C84,Recursos!$A$2:$A$201,0)),""))</f>
        <v/>
      </c>
      <c r="H84" s="11" t="s">
        <v>35</v>
      </c>
    </row>
    <row r="85" spans="1:8" x14ac:dyDescent="0.25">
      <c r="A85" s="10" t="str">
        <f>IF(OR($B85="",$C85="",$H85=""),"",PREFIJO_OPE&amp;TEXT(SUMPRODUCT(($B$3:$B85&lt;&gt;"")*($C$3:$C85&lt;&gt;"")*($H$3:$H85&lt;&gt;"")),"000"))</f>
        <v/>
      </c>
      <c r="B85" s="14"/>
      <c r="C85" s="14"/>
      <c r="D85" s="10" t="str">
        <f>IF($C85="","",IFERROR(INDEX(Recursos!$D$2:$D$201,MATCH($C85,Recursos!$A$2:$A$201,0)),""))</f>
        <v/>
      </c>
      <c r="E85" s="10" t="str">
        <f>IF($C85="","",IFERROR(INDEX(Recursos!$B$2:$B$201,MATCH($C85,Recursos!$A$2:$A$201,0)),""))</f>
        <v/>
      </c>
      <c r="F85" s="10" t="str">
        <f>IF($C85="","",IFERROR(INDEX(Recursos!$F$2:$F$201,MATCH($C85,Recursos!$A$2:$A$201,0)),""))</f>
        <v/>
      </c>
      <c r="G85" s="18" t="str">
        <f>IF($C85="","",IFERROR(INDEX(Recursos!$G$2:$G$201,MATCH($C85,Recursos!$A$2:$A$201,0)),""))</f>
        <v/>
      </c>
      <c r="H85" s="11" t="s">
        <v>35</v>
      </c>
    </row>
    <row r="86" spans="1:8" x14ac:dyDescent="0.25">
      <c r="A86" s="10" t="str">
        <f>IF(OR($B86="",$C86="",$H86=""),"",PREFIJO_OPE&amp;TEXT(SUMPRODUCT(($B$3:$B86&lt;&gt;"")*($C$3:$C86&lt;&gt;"")*($H$3:$H86&lt;&gt;"")),"000"))</f>
        <v/>
      </c>
      <c r="B86" s="14"/>
      <c r="C86" s="14"/>
      <c r="D86" s="10" t="str">
        <f>IF($C86="","",IFERROR(INDEX(Recursos!$D$2:$D$201,MATCH($C86,Recursos!$A$2:$A$201,0)),""))</f>
        <v/>
      </c>
      <c r="E86" s="10" t="str">
        <f>IF($C86="","",IFERROR(INDEX(Recursos!$B$2:$B$201,MATCH($C86,Recursos!$A$2:$A$201,0)),""))</f>
        <v/>
      </c>
      <c r="F86" s="10" t="str">
        <f>IF($C86="","",IFERROR(INDEX(Recursos!$F$2:$F$201,MATCH($C86,Recursos!$A$2:$A$201,0)),""))</f>
        <v/>
      </c>
      <c r="G86" s="18" t="str">
        <f>IF($C86="","",IFERROR(INDEX(Recursos!$G$2:$G$201,MATCH($C86,Recursos!$A$2:$A$201,0)),""))</f>
        <v/>
      </c>
      <c r="H86" s="11" t="s">
        <v>35</v>
      </c>
    </row>
    <row r="87" spans="1:8" x14ac:dyDescent="0.25">
      <c r="A87" s="10" t="str">
        <f>IF(OR($B87="",$C87="",$H87=""),"",PREFIJO_OPE&amp;TEXT(SUMPRODUCT(($B$3:$B87&lt;&gt;"")*($C$3:$C87&lt;&gt;"")*($H$3:$H87&lt;&gt;"")),"000"))</f>
        <v/>
      </c>
      <c r="B87" s="14"/>
      <c r="C87" s="14"/>
      <c r="D87" s="10" t="str">
        <f>IF($C87="","",IFERROR(INDEX(Recursos!$D$2:$D$201,MATCH($C87,Recursos!$A$2:$A$201,0)),""))</f>
        <v/>
      </c>
      <c r="E87" s="10" t="str">
        <f>IF($C87="","",IFERROR(INDEX(Recursos!$B$2:$B$201,MATCH($C87,Recursos!$A$2:$A$201,0)),""))</f>
        <v/>
      </c>
      <c r="F87" s="10" t="str">
        <f>IF($C87="","",IFERROR(INDEX(Recursos!$F$2:$F$201,MATCH($C87,Recursos!$A$2:$A$201,0)),""))</f>
        <v/>
      </c>
      <c r="G87" s="18" t="str">
        <f>IF($C87="","",IFERROR(INDEX(Recursos!$G$2:$G$201,MATCH($C87,Recursos!$A$2:$A$201,0)),""))</f>
        <v/>
      </c>
      <c r="H87" s="11" t="s">
        <v>35</v>
      </c>
    </row>
    <row r="88" spans="1:8" x14ac:dyDescent="0.25">
      <c r="A88" s="10" t="str">
        <f>IF(OR($B88="",$C88="",$H88=""),"",PREFIJO_OPE&amp;TEXT(SUMPRODUCT(($B$3:$B88&lt;&gt;"")*($C$3:$C88&lt;&gt;"")*($H$3:$H88&lt;&gt;"")),"000"))</f>
        <v/>
      </c>
      <c r="B88" s="14"/>
      <c r="C88" s="14"/>
      <c r="D88" s="10" t="str">
        <f>IF($C88="","",IFERROR(INDEX(Recursos!$D$2:$D$201,MATCH($C88,Recursos!$A$2:$A$201,0)),""))</f>
        <v/>
      </c>
      <c r="E88" s="10" t="str">
        <f>IF($C88="","",IFERROR(INDEX(Recursos!$B$2:$B$201,MATCH($C88,Recursos!$A$2:$A$201,0)),""))</f>
        <v/>
      </c>
      <c r="F88" s="10" t="str">
        <f>IF($C88="","",IFERROR(INDEX(Recursos!$F$2:$F$201,MATCH($C88,Recursos!$A$2:$A$201,0)),""))</f>
        <v/>
      </c>
      <c r="G88" s="18" t="str">
        <f>IF($C88="","",IFERROR(INDEX(Recursos!$G$2:$G$201,MATCH($C88,Recursos!$A$2:$A$201,0)),""))</f>
        <v/>
      </c>
      <c r="H88" s="11" t="s">
        <v>35</v>
      </c>
    </row>
    <row r="89" spans="1:8" x14ac:dyDescent="0.25">
      <c r="A89" s="10" t="str">
        <f>IF(OR($B89="",$C89="",$H89=""),"",PREFIJO_OPE&amp;TEXT(SUMPRODUCT(($B$3:$B89&lt;&gt;"")*($C$3:$C89&lt;&gt;"")*($H$3:$H89&lt;&gt;"")),"000"))</f>
        <v/>
      </c>
      <c r="B89" s="14"/>
      <c r="C89" s="14"/>
      <c r="D89" s="10" t="str">
        <f>IF($C89="","",IFERROR(INDEX(Recursos!$D$2:$D$201,MATCH($C89,Recursos!$A$2:$A$201,0)),""))</f>
        <v/>
      </c>
      <c r="E89" s="10" t="str">
        <f>IF($C89="","",IFERROR(INDEX(Recursos!$B$2:$B$201,MATCH($C89,Recursos!$A$2:$A$201,0)),""))</f>
        <v/>
      </c>
      <c r="F89" s="10" t="str">
        <f>IF($C89="","",IFERROR(INDEX(Recursos!$F$2:$F$201,MATCH($C89,Recursos!$A$2:$A$201,0)),""))</f>
        <v/>
      </c>
      <c r="G89" s="18" t="str">
        <f>IF($C89="","",IFERROR(INDEX(Recursos!$G$2:$G$201,MATCH($C89,Recursos!$A$2:$A$201,0)),""))</f>
        <v/>
      </c>
      <c r="H89" s="11" t="s">
        <v>35</v>
      </c>
    </row>
    <row r="90" spans="1:8" x14ac:dyDescent="0.25">
      <c r="A90" s="10" t="str">
        <f>IF(OR($B90="",$C90="",$H90=""),"",PREFIJO_OPE&amp;TEXT(SUMPRODUCT(($B$3:$B90&lt;&gt;"")*($C$3:$C90&lt;&gt;"")*($H$3:$H90&lt;&gt;"")),"000"))</f>
        <v/>
      </c>
      <c r="B90" s="14"/>
      <c r="C90" s="14"/>
      <c r="D90" s="10" t="str">
        <f>IF($C90="","",IFERROR(INDEX(Recursos!$D$2:$D$201,MATCH($C90,Recursos!$A$2:$A$201,0)),""))</f>
        <v/>
      </c>
      <c r="E90" s="10" t="str">
        <f>IF($C90="","",IFERROR(INDEX(Recursos!$B$2:$B$201,MATCH($C90,Recursos!$A$2:$A$201,0)),""))</f>
        <v/>
      </c>
      <c r="F90" s="10" t="str">
        <f>IF($C90="","",IFERROR(INDEX(Recursos!$F$2:$F$201,MATCH($C90,Recursos!$A$2:$A$201,0)),""))</f>
        <v/>
      </c>
      <c r="G90" s="18" t="str">
        <f>IF($C90="","",IFERROR(INDEX(Recursos!$G$2:$G$201,MATCH($C90,Recursos!$A$2:$A$201,0)),""))</f>
        <v/>
      </c>
      <c r="H90" s="11" t="s">
        <v>35</v>
      </c>
    </row>
    <row r="91" spans="1:8" x14ac:dyDescent="0.25">
      <c r="A91" s="10" t="str">
        <f>IF(OR($B91="",$C91="",$H91=""),"",PREFIJO_OPE&amp;TEXT(SUMPRODUCT(($B$3:$B91&lt;&gt;"")*($C$3:$C91&lt;&gt;"")*($H$3:$H91&lt;&gt;"")),"000"))</f>
        <v/>
      </c>
      <c r="B91" s="14"/>
      <c r="C91" s="14"/>
      <c r="D91" s="10" t="str">
        <f>IF($C91="","",IFERROR(INDEX(Recursos!$D$2:$D$201,MATCH($C91,Recursos!$A$2:$A$201,0)),""))</f>
        <v/>
      </c>
      <c r="E91" s="10" t="str">
        <f>IF($C91="","",IFERROR(INDEX(Recursos!$B$2:$B$201,MATCH($C91,Recursos!$A$2:$A$201,0)),""))</f>
        <v/>
      </c>
      <c r="F91" s="10" t="str">
        <f>IF($C91="","",IFERROR(INDEX(Recursos!$F$2:$F$201,MATCH($C91,Recursos!$A$2:$A$201,0)),""))</f>
        <v/>
      </c>
      <c r="G91" s="18" t="str">
        <f>IF($C91="","",IFERROR(INDEX(Recursos!$G$2:$G$201,MATCH($C91,Recursos!$A$2:$A$201,0)),""))</f>
        <v/>
      </c>
      <c r="H91" s="11" t="s">
        <v>35</v>
      </c>
    </row>
    <row r="92" spans="1:8" x14ac:dyDescent="0.25">
      <c r="A92" s="10" t="str">
        <f>IF(OR($B92="",$C92="",$H92=""),"",PREFIJO_OPE&amp;TEXT(SUMPRODUCT(($B$3:$B92&lt;&gt;"")*($C$3:$C92&lt;&gt;"")*($H$3:$H92&lt;&gt;"")),"000"))</f>
        <v/>
      </c>
      <c r="B92" s="14"/>
      <c r="C92" s="14"/>
      <c r="D92" s="10" t="str">
        <f>IF($C92="","",IFERROR(INDEX(Recursos!$D$2:$D$201,MATCH($C92,Recursos!$A$2:$A$201,0)),""))</f>
        <v/>
      </c>
      <c r="E92" s="10" t="str">
        <f>IF($C92="","",IFERROR(INDEX(Recursos!$B$2:$B$201,MATCH($C92,Recursos!$A$2:$A$201,0)),""))</f>
        <v/>
      </c>
      <c r="F92" s="10" t="str">
        <f>IF($C92="","",IFERROR(INDEX(Recursos!$F$2:$F$201,MATCH($C92,Recursos!$A$2:$A$201,0)),""))</f>
        <v/>
      </c>
      <c r="G92" s="18" t="str">
        <f>IF($C92="","",IFERROR(INDEX(Recursos!$G$2:$G$201,MATCH($C92,Recursos!$A$2:$A$201,0)),""))</f>
        <v/>
      </c>
      <c r="H92" s="11" t="s">
        <v>35</v>
      </c>
    </row>
    <row r="93" spans="1:8" x14ac:dyDescent="0.25">
      <c r="A93" s="10" t="str">
        <f>IF(OR($B93="",$C93="",$H93=""),"",PREFIJO_OPE&amp;TEXT(SUMPRODUCT(($B$3:$B93&lt;&gt;"")*($C$3:$C93&lt;&gt;"")*($H$3:$H93&lt;&gt;"")),"000"))</f>
        <v/>
      </c>
      <c r="B93" s="14"/>
      <c r="C93" s="14"/>
      <c r="D93" s="10" t="str">
        <f>IF($C93="","",IFERROR(INDEX(Recursos!$D$2:$D$201,MATCH($C93,Recursos!$A$2:$A$201,0)),""))</f>
        <v/>
      </c>
      <c r="E93" s="10" t="str">
        <f>IF($C93="","",IFERROR(INDEX(Recursos!$B$2:$B$201,MATCH($C93,Recursos!$A$2:$A$201,0)),""))</f>
        <v/>
      </c>
      <c r="F93" s="10" t="str">
        <f>IF($C93="","",IFERROR(INDEX(Recursos!$F$2:$F$201,MATCH($C93,Recursos!$A$2:$A$201,0)),""))</f>
        <v/>
      </c>
      <c r="G93" s="18" t="str">
        <f>IF($C93="","",IFERROR(INDEX(Recursos!$G$2:$G$201,MATCH($C93,Recursos!$A$2:$A$201,0)),""))</f>
        <v/>
      </c>
      <c r="H93" s="11" t="s">
        <v>35</v>
      </c>
    </row>
    <row r="94" spans="1:8" x14ac:dyDescent="0.25">
      <c r="A94" s="10" t="str">
        <f>IF(OR($B94="",$C94="",$H94=""),"",PREFIJO_OPE&amp;TEXT(SUMPRODUCT(($B$3:$B94&lt;&gt;"")*($C$3:$C94&lt;&gt;"")*($H$3:$H94&lt;&gt;"")),"000"))</f>
        <v/>
      </c>
      <c r="B94" s="14"/>
      <c r="C94" s="14"/>
      <c r="D94" s="10" t="str">
        <f>IF($C94="","",IFERROR(INDEX(Recursos!$D$2:$D$201,MATCH($C94,Recursos!$A$2:$A$201,0)),""))</f>
        <v/>
      </c>
      <c r="E94" s="10" t="str">
        <f>IF($C94="","",IFERROR(INDEX(Recursos!$B$2:$B$201,MATCH($C94,Recursos!$A$2:$A$201,0)),""))</f>
        <v/>
      </c>
      <c r="F94" s="10" t="str">
        <f>IF($C94="","",IFERROR(INDEX(Recursos!$F$2:$F$201,MATCH($C94,Recursos!$A$2:$A$201,0)),""))</f>
        <v/>
      </c>
      <c r="G94" s="18" t="str">
        <f>IF($C94="","",IFERROR(INDEX(Recursos!$G$2:$G$201,MATCH($C94,Recursos!$A$2:$A$201,0)),""))</f>
        <v/>
      </c>
      <c r="H94" s="11" t="s">
        <v>35</v>
      </c>
    </row>
    <row r="95" spans="1:8" x14ac:dyDescent="0.25">
      <c r="A95" s="10" t="str">
        <f>IF(OR($B95="",$C95="",$H95=""),"",PREFIJO_OPE&amp;TEXT(SUMPRODUCT(($B$3:$B95&lt;&gt;"")*($C$3:$C95&lt;&gt;"")*($H$3:$H95&lt;&gt;"")),"000"))</f>
        <v/>
      </c>
      <c r="B95" s="14"/>
      <c r="C95" s="14"/>
      <c r="D95" s="10" t="str">
        <f>IF($C95="","",IFERROR(INDEX(Recursos!$D$2:$D$201,MATCH($C95,Recursos!$A$2:$A$201,0)),""))</f>
        <v/>
      </c>
      <c r="E95" s="10" t="str">
        <f>IF($C95="","",IFERROR(INDEX(Recursos!$B$2:$B$201,MATCH($C95,Recursos!$A$2:$A$201,0)),""))</f>
        <v/>
      </c>
      <c r="F95" s="10" t="str">
        <f>IF($C95="","",IFERROR(INDEX(Recursos!$F$2:$F$201,MATCH($C95,Recursos!$A$2:$A$201,0)),""))</f>
        <v/>
      </c>
      <c r="G95" s="18" t="str">
        <f>IF($C95="","",IFERROR(INDEX(Recursos!$G$2:$G$201,MATCH($C95,Recursos!$A$2:$A$201,0)),""))</f>
        <v/>
      </c>
      <c r="H95" s="11" t="s">
        <v>35</v>
      </c>
    </row>
    <row r="96" spans="1:8" x14ac:dyDescent="0.25">
      <c r="A96" s="10" t="str">
        <f>IF(OR($B96="",$C96="",$H96=""),"",PREFIJO_OPE&amp;TEXT(SUMPRODUCT(($B$3:$B96&lt;&gt;"")*($C$3:$C96&lt;&gt;"")*($H$3:$H96&lt;&gt;"")),"000"))</f>
        <v/>
      </c>
      <c r="B96" s="14"/>
      <c r="C96" s="14"/>
      <c r="D96" s="10" t="str">
        <f>IF($C96="","",IFERROR(INDEX(Recursos!$D$2:$D$201,MATCH($C96,Recursos!$A$2:$A$201,0)),""))</f>
        <v/>
      </c>
      <c r="E96" s="10" t="str">
        <f>IF($C96="","",IFERROR(INDEX(Recursos!$B$2:$B$201,MATCH($C96,Recursos!$A$2:$A$201,0)),""))</f>
        <v/>
      </c>
      <c r="F96" s="10" t="str">
        <f>IF($C96="","",IFERROR(INDEX(Recursos!$F$2:$F$201,MATCH($C96,Recursos!$A$2:$A$201,0)),""))</f>
        <v/>
      </c>
      <c r="G96" s="18" t="str">
        <f>IF($C96="","",IFERROR(INDEX(Recursos!$G$2:$G$201,MATCH($C96,Recursos!$A$2:$A$201,0)),""))</f>
        <v/>
      </c>
      <c r="H96" s="11" t="s">
        <v>35</v>
      </c>
    </row>
    <row r="97" spans="1:8" x14ac:dyDescent="0.25">
      <c r="A97" s="10" t="str">
        <f>IF(OR($B97="",$C97="",$H97=""),"",PREFIJO_OPE&amp;TEXT(SUMPRODUCT(($B$3:$B97&lt;&gt;"")*($C$3:$C97&lt;&gt;"")*($H$3:$H97&lt;&gt;"")),"000"))</f>
        <v/>
      </c>
      <c r="B97" s="14"/>
      <c r="C97" s="14"/>
      <c r="D97" s="10" t="str">
        <f>IF($C97="","",IFERROR(INDEX(Recursos!$D$2:$D$201,MATCH($C97,Recursos!$A$2:$A$201,0)),""))</f>
        <v/>
      </c>
      <c r="E97" s="10" t="str">
        <f>IF($C97="","",IFERROR(INDEX(Recursos!$B$2:$B$201,MATCH($C97,Recursos!$A$2:$A$201,0)),""))</f>
        <v/>
      </c>
      <c r="F97" s="10" t="str">
        <f>IF($C97="","",IFERROR(INDEX(Recursos!$F$2:$F$201,MATCH($C97,Recursos!$A$2:$A$201,0)),""))</f>
        <v/>
      </c>
      <c r="G97" s="18" t="str">
        <f>IF($C97="","",IFERROR(INDEX(Recursos!$G$2:$G$201,MATCH($C97,Recursos!$A$2:$A$201,0)),""))</f>
        <v/>
      </c>
      <c r="H97" s="11" t="s">
        <v>35</v>
      </c>
    </row>
    <row r="98" spans="1:8" x14ac:dyDescent="0.25">
      <c r="A98" s="10" t="str">
        <f>IF(OR($B98="",$C98="",$H98=""),"",PREFIJO_OPE&amp;TEXT(SUMPRODUCT(($B$3:$B98&lt;&gt;"")*($C$3:$C98&lt;&gt;"")*($H$3:$H98&lt;&gt;"")),"000"))</f>
        <v/>
      </c>
      <c r="B98" s="14"/>
      <c r="C98" s="14"/>
      <c r="D98" s="10" t="str">
        <f>IF($C98="","",IFERROR(INDEX(Recursos!$D$2:$D$201,MATCH($C98,Recursos!$A$2:$A$201,0)),""))</f>
        <v/>
      </c>
      <c r="E98" s="10" t="str">
        <f>IF($C98="","",IFERROR(INDEX(Recursos!$B$2:$B$201,MATCH($C98,Recursos!$A$2:$A$201,0)),""))</f>
        <v/>
      </c>
      <c r="F98" s="10" t="str">
        <f>IF($C98="","",IFERROR(INDEX(Recursos!$F$2:$F$201,MATCH($C98,Recursos!$A$2:$A$201,0)),""))</f>
        <v/>
      </c>
      <c r="G98" s="18" t="str">
        <f>IF($C98="","",IFERROR(INDEX(Recursos!$G$2:$G$201,MATCH($C98,Recursos!$A$2:$A$201,0)),""))</f>
        <v/>
      </c>
      <c r="H98" s="11" t="s">
        <v>35</v>
      </c>
    </row>
    <row r="99" spans="1:8" x14ac:dyDescent="0.25">
      <c r="A99" s="10" t="str">
        <f>IF(OR($B99="",$C99="",$H99=""),"",PREFIJO_OPE&amp;TEXT(SUMPRODUCT(($B$3:$B99&lt;&gt;"")*($C$3:$C99&lt;&gt;"")*($H$3:$H99&lt;&gt;"")),"000"))</f>
        <v/>
      </c>
      <c r="B99" s="14"/>
      <c r="C99" s="14"/>
      <c r="D99" s="10" t="str">
        <f>IF($C99="","",IFERROR(INDEX(Recursos!$D$2:$D$201,MATCH($C99,Recursos!$A$2:$A$201,0)),""))</f>
        <v/>
      </c>
      <c r="E99" s="10" t="str">
        <f>IF($C99="","",IFERROR(INDEX(Recursos!$B$2:$B$201,MATCH($C99,Recursos!$A$2:$A$201,0)),""))</f>
        <v/>
      </c>
      <c r="F99" s="10" t="str">
        <f>IF($C99="","",IFERROR(INDEX(Recursos!$F$2:$F$201,MATCH($C99,Recursos!$A$2:$A$201,0)),""))</f>
        <v/>
      </c>
      <c r="G99" s="18" t="str">
        <f>IF($C99="","",IFERROR(INDEX(Recursos!$G$2:$G$201,MATCH($C99,Recursos!$A$2:$A$201,0)),""))</f>
        <v/>
      </c>
      <c r="H99" s="11" t="s">
        <v>35</v>
      </c>
    </row>
    <row r="100" spans="1:8" x14ac:dyDescent="0.25">
      <c r="A100" s="10" t="str">
        <f>IF(OR($B100="",$C100="",$H100=""),"",PREFIJO_OPE&amp;TEXT(SUMPRODUCT(($B$3:$B100&lt;&gt;"")*($C$3:$C100&lt;&gt;"")*($H$3:$H100&lt;&gt;"")),"000"))</f>
        <v/>
      </c>
      <c r="B100" s="14"/>
      <c r="C100" s="14"/>
      <c r="D100" s="10" t="str">
        <f>IF($C100="","",IFERROR(INDEX(Recursos!$D$2:$D$201,MATCH($C100,Recursos!$A$2:$A$201,0)),""))</f>
        <v/>
      </c>
      <c r="E100" s="10" t="str">
        <f>IF($C100="","",IFERROR(INDEX(Recursos!$B$2:$B$201,MATCH($C100,Recursos!$A$2:$A$201,0)),""))</f>
        <v/>
      </c>
      <c r="F100" s="10" t="str">
        <f>IF($C100="","",IFERROR(INDEX(Recursos!$F$2:$F$201,MATCH($C100,Recursos!$A$2:$A$201,0)),""))</f>
        <v/>
      </c>
      <c r="G100" s="18" t="str">
        <f>IF($C100="","",IFERROR(INDEX(Recursos!$G$2:$G$201,MATCH($C100,Recursos!$A$2:$A$201,0)),""))</f>
        <v/>
      </c>
      <c r="H100" s="11" t="s">
        <v>35</v>
      </c>
    </row>
    <row r="101" spans="1:8" x14ac:dyDescent="0.25">
      <c r="A101" s="10" t="str">
        <f>IF(OR($B101="",$C101="",$H101=""),"",PREFIJO_OPE&amp;TEXT(SUMPRODUCT(($B$3:$B101&lt;&gt;"")*($C$3:$C101&lt;&gt;"")*($H$3:$H101&lt;&gt;"")),"000"))</f>
        <v/>
      </c>
      <c r="B101" s="14"/>
      <c r="C101" s="14"/>
      <c r="D101" s="10" t="str">
        <f>IF($C101="","",IFERROR(INDEX(Recursos!$D$2:$D$201,MATCH($C101,Recursos!$A$2:$A$201,0)),""))</f>
        <v/>
      </c>
      <c r="E101" s="10" t="str">
        <f>IF($C101="","",IFERROR(INDEX(Recursos!$B$2:$B$201,MATCH($C101,Recursos!$A$2:$A$201,0)),""))</f>
        <v/>
      </c>
      <c r="F101" s="10" t="str">
        <f>IF($C101="","",IFERROR(INDEX(Recursos!$F$2:$F$201,MATCH($C101,Recursos!$A$2:$A$201,0)),""))</f>
        <v/>
      </c>
      <c r="G101" s="18" t="str">
        <f>IF($C101="","",IFERROR(INDEX(Recursos!$G$2:$G$201,MATCH($C101,Recursos!$A$2:$A$201,0)),""))</f>
        <v/>
      </c>
      <c r="H101" s="11" t="s">
        <v>35</v>
      </c>
    </row>
    <row r="102" spans="1:8" x14ac:dyDescent="0.25">
      <c r="A102" s="10" t="str">
        <f>IF(OR($B102="",$C102="",$H102=""),"",PREFIJO_OPE&amp;TEXT(SUMPRODUCT(($B$3:$B102&lt;&gt;"")*($C$3:$C102&lt;&gt;"")*($H$3:$H102&lt;&gt;"")),"000"))</f>
        <v/>
      </c>
      <c r="B102" s="14"/>
      <c r="C102" s="14"/>
      <c r="D102" s="10" t="str">
        <f>IF($C102="","",IFERROR(INDEX(Recursos!$D$2:$D$201,MATCH($C102,Recursos!$A$2:$A$201,0)),""))</f>
        <v/>
      </c>
      <c r="E102" s="10" t="str">
        <f>IF($C102="","",IFERROR(INDEX(Recursos!$B$2:$B$201,MATCH($C102,Recursos!$A$2:$A$201,0)),""))</f>
        <v/>
      </c>
      <c r="F102" s="10" t="str">
        <f>IF($C102="","",IFERROR(INDEX(Recursos!$F$2:$F$201,MATCH($C102,Recursos!$A$2:$A$201,0)),""))</f>
        <v/>
      </c>
      <c r="G102" s="18" t="str">
        <f>IF($C102="","",IFERROR(INDEX(Recursos!$G$2:$G$201,MATCH($C102,Recursos!$A$2:$A$201,0)),""))</f>
        <v/>
      </c>
      <c r="H102" s="11" t="s">
        <v>35</v>
      </c>
    </row>
    <row r="103" spans="1:8" x14ac:dyDescent="0.25">
      <c r="A103" s="10" t="str">
        <f>IF(OR($B103="",$C103="",$H103=""),"",PREFIJO_OPE&amp;TEXT(SUMPRODUCT(($B$3:$B103&lt;&gt;"")*($C$3:$C103&lt;&gt;"")*($H$3:$H103&lt;&gt;"")),"000"))</f>
        <v/>
      </c>
      <c r="B103" s="14"/>
      <c r="C103" s="14"/>
      <c r="D103" s="10" t="str">
        <f>IF($C103="","",IFERROR(INDEX(Recursos!$D$2:$D$201,MATCH($C103,Recursos!$A$2:$A$201,0)),""))</f>
        <v/>
      </c>
      <c r="E103" s="10" t="str">
        <f>IF($C103="","",IFERROR(INDEX(Recursos!$B$2:$B$201,MATCH($C103,Recursos!$A$2:$A$201,0)),""))</f>
        <v/>
      </c>
      <c r="F103" s="10" t="str">
        <f>IF($C103="","",IFERROR(INDEX(Recursos!$F$2:$F$201,MATCH($C103,Recursos!$A$2:$A$201,0)),""))</f>
        <v/>
      </c>
      <c r="G103" s="18" t="str">
        <f>IF($C103="","",IFERROR(INDEX(Recursos!$G$2:$G$201,MATCH($C103,Recursos!$A$2:$A$201,0)),""))</f>
        <v/>
      </c>
      <c r="H103" s="11" t="s">
        <v>35</v>
      </c>
    </row>
    <row r="104" spans="1:8" x14ac:dyDescent="0.25">
      <c r="A104" s="10" t="str">
        <f>IF(OR($B104="",$C104="",$H104=""),"",PREFIJO_OPE&amp;TEXT(SUMPRODUCT(($B$3:$B104&lt;&gt;"")*($C$3:$C104&lt;&gt;"")*($H$3:$H104&lt;&gt;"")),"000"))</f>
        <v/>
      </c>
      <c r="B104" s="14"/>
      <c r="C104" s="14"/>
      <c r="D104" s="10" t="str">
        <f>IF($C104="","",IFERROR(INDEX(Recursos!$D$2:$D$201,MATCH($C104,Recursos!$A$2:$A$201,0)),""))</f>
        <v/>
      </c>
      <c r="E104" s="10" t="str">
        <f>IF($C104="","",IFERROR(INDEX(Recursos!$B$2:$B$201,MATCH($C104,Recursos!$A$2:$A$201,0)),""))</f>
        <v/>
      </c>
      <c r="F104" s="10" t="str">
        <f>IF($C104="","",IFERROR(INDEX(Recursos!$F$2:$F$201,MATCH($C104,Recursos!$A$2:$A$201,0)),""))</f>
        <v/>
      </c>
      <c r="G104" s="18" t="str">
        <f>IF($C104="","",IFERROR(INDEX(Recursos!$G$2:$G$201,MATCH($C104,Recursos!$A$2:$A$201,0)),""))</f>
        <v/>
      </c>
      <c r="H104" s="11" t="s">
        <v>35</v>
      </c>
    </row>
    <row r="105" spans="1:8" x14ac:dyDescent="0.25">
      <c r="A105" s="10" t="str">
        <f>IF(OR($B105="",$C105="",$H105=""),"",PREFIJO_OPE&amp;TEXT(SUMPRODUCT(($B$3:$B105&lt;&gt;"")*($C$3:$C105&lt;&gt;"")*($H$3:$H105&lt;&gt;"")),"000"))</f>
        <v/>
      </c>
      <c r="B105" s="14"/>
      <c r="C105" s="14"/>
      <c r="D105" s="10" t="str">
        <f>IF($C105="","",IFERROR(INDEX(Recursos!$D$2:$D$201,MATCH($C105,Recursos!$A$2:$A$201,0)),""))</f>
        <v/>
      </c>
      <c r="E105" s="10" t="str">
        <f>IF($C105="","",IFERROR(INDEX(Recursos!$B$2:$B$201,MATCH($C105,Recursos!$A$2:$A$201,0)),""))</f>
        <v/>
      </c>
      <c r="F105" s="10" t="str">
        <f>IF($C105="","",IFERROR(INDEX(Recursos!$F$2:$F$201,MATCH($C105,Recursos!$A$2:$A$201,0)),""))</f>
        <v/>
      </c>
      <c r="G105" s="18" t="str">
        <f>IF($C105="","",IFERROR(INDEX(Recursos!$G$2:$G$201,MATCH($C105,Recursos!$A$2:$A$201,0)),""))</f>
        <v/>
      </c>
      <c r="H105" s="11" t="s">
        <v>35</v>
      </c>
    </row>
    <row r="106" spans="1:8" x14ac:dyDescent="0.25">
      <c r="A106" s="10" t="str">
        <f>IF(OR($B106="",$C106="",$H106=""),"",PREFIJO_OPE&amp;TEXT(SUMPRODUCT(($B$3:$B106&lt;&gt;"")*($C$3:$C106&lt;&gt;"")*($H$3:$H106&lt;&gt;"")),"000"))</f>
        <v/>
      </c>
      <c r="B106" s="14"/>
      <c r="C106" s="14"/>
      <c r="D106" s="10" t="str">
        <f>IF($C106="","",IFERROR(INDEX(Recursos!$D$2:$D$201,MATCH($C106,Recursos!$A$2:$A$201,0)),""))</f>
        <v/>
      </c>
      <c r="E106" s="10" t="str">
        <f>IF($C106="","",IFERROR(INDEX(Recursos!$B$2:$B$201,MATCH($C106,Recursos!$A$2:$A$201,0)),""))</f>
        <v/>
      </c>
      <c r="F106" s="10" t="str">
        <f>IF($C106="","",IFERROR(INDEX(Recursos!$F$2:$F$201,MATCH($C106,Recursos!$A$2:$A$201,0)),""))</f>
        <v/>
      </c>
      <c r="G106" s="18" t="str">
        <f>IF($C106="","",IFERROR(INDEX(Recursos!$G$2:$G$201,MATCH($C106,Recursos!$A$2:$A$201,0)),""))</f>
        <v/>
      </c>
      <c r="H106" s="11" t="s">
        <v>35</v>
      </c>
    </row>
    <row r="107" spans="1:8" x14ac:dyDescent="0.25">
      <c r="A107" s="10" t="str">
        <f>IF(OR($B107="",$C107="",$H107=""),"",PREFIJO_OPE&amp;TEXT(SUMPRODUCT(($B$3:$B107&lt;&gt;"")*($C$3:$C107&lt;&gt;"")*($H$3:$H107&lt;&gt;"")),"000"))</f>
        <v/>
      </c>
      <c r="B107" s="14"/>
      <c r="C107" s="14"/>
      <c r="D107" s="10" t="str">
        <f>IF($C107="","",IFERROR(INDEX(Recursos!$D$2:$D$201,MATCH($C107,Recursos!$A$2:$A$201,0)),""))</f>
        <v/>
      </c>
      <c r="E107" s="10" t="str">
        <f>IF($C107="","",IFERROR(INDEX(Recursos!$B$2:$B$201,MATCH($C107,Recursos!$A$2:$A$201,0)),""))</f>
        <v/>
      </c>
      <c r="F107" s="10" t="str">
        <f>IF($C107="","",IFERROR(INDEX(Recursos!$F$2:$F$201,MATCH($C107,Recursos!$A$2:$A$201,0)),""))</f>
        <v/>
      </c>
      <c r="G107" s="18" t="str">
        <f>IF($C107="","",IFERROR(INDEX(Recursos!$G$2:$G$201,MATCH($C107,Recursos!$A$2:$A$201,0)),""))</f>
        <v/>
      </c>
      <c r="H107" s="11" t="s">
        <v>35</v>
      </c>
    </row>
    <row r="108" spans="1:8" x14ac:dyDescent="0.25">
      <c r="A108" s="10" t="str">
        <f>IF(OR($B108="",$C108="",$H108=""),"",PREFIJO_OPE&amp;TEXT(SUMPRODUCT(($B$3:$B108&lt;&gt;"")*($C$3:$C108&lt;&gt;"")*($H$3:$H108&lt;&gt;"")),"000"))</f>
        <v/>
      </c>
      <c r="B108" s="14"/>
      <c r="C108" s="14"/>
      <c r="D108" s="10" t="str">
        <f>IF($C108="","",IFERROR(INDEX(Recursos!$D$2:$D$201,MATCH($C108,Recursos!$A$2:$A$201,0)),""))</f>
        <v/>
      </c>
      <c r="E108" s="10" t="str">
        <f>IF($C108="","",IFERROR(INDEX(Recursos!$B$2:$B$201,MATCH($C108,Recursos!$A$2:$A$201,0)),""))</f>
        <v/>
      </c>
      <c r="F108" s="10" t="str">
        <f>IF($C108="","",IFERROR(INDEX(Recursos!$F$2:$F$201,MATCH($C108,Recursos!$A$2:$A$201,0)),""))</f>
        <v/>
      </c>
      <c r="G108" s="18" t="str">
        <f>IF($C108="","",IFERROR(INDEX(Recursos!$G$2:$G$201,MATCH($C108,Recursos!$A$2:$A$201,0)),""))</f>
        <v/>
      </c>
      <c r="H108" s="11" t="s">
        <v>35</v>
      </c>
    </row>
    <row r="109" spans="1:8" x14ac:dyDescent="0.25">
      <c r="A109" s="10" t="str">
        <f>IF(OR($B109="",$C109="",$H109=""),"",PREFIJO_OPE&amp;TEXT(SUMPRODUCT(($B$3:$B109&lt;&gt;"")*($C$3:$C109&lt;&gt;"")*($H$3:$H109&lt;&gt;"")),"000"))</f>
        <v/>
      </c>
      <c r="B109" s="14"/>
      <c r="C109" s="14"/>
      <c r="D109" s="10" t="str">
        <f>IF($C109="","",IFERROR(INDEX(Recursos!$D$2:$D$201,MATCH($C109,Recursos!$A$2:$A$201,0)),""))</f>
        <v/>
      </c>
      <c r="E109" s="10" t="str">
        <f>IF($C109="","",IFERROR(INDEX(Recursos!$B$2:$B$201,MATCH($C109,Recursos!$A$2:$A$201,0)),""))</f>
        <v/>
      </c>
      <c r="F109" s="10" t="str">
        <f>IF($C109="","",IFERROR(INDEX(Recursos!$F$2:$F$201,MATCH($C109,Recursos!$A$2:$A$201,0)),""))</f>
        <v/>
      </c>
      <c r="G109" s="18" t="str">
        <f>IF($C109="","",IFERROR(INDEX(Recursos!$G$2:$G$201,MATCH($C109,Recursos!$A$2:$A$201,0)),""))</f>
        <v/>
      </c>
      <c r="H109" s="11" t="s">
        <v>35</v>
      </c>
    </row>
    <row r="110" spans="1:8" x14ac:dyDescent="0.25">
      <c r="A110" s="10" t="str">
        <f>IF(OR($B110="",$C110="",$H110=""),"",PREFIJO_OPE&amp;TEXT(SUMPRODUCT(($B$3:$B110&lt;&gt;"")*($C$3:$C110&lt;&gt;"")*($H$3:$H110&lt;&gt;"")),"000"))</f>
        <v/>
      </c>
      <c r="B110" s="14"/>
      <c r="C110" s="14"/>
      <c r="D110" s="10" t="str">
        <f>IF($C110="","",IFERROR(INDEX(Recursos!$D$2:$D$201,MATCH($C110,Recursos!$A$2:$A$201,0)),""))</f>
        <v/>
      </c>
      <c r="E110" s="10" t="str">
        <f>IF($C110="","",IFERROR(INDEX(Recursos!$B$2:$B$201,MATCH($C110,Recursos!$A$2:$A$201,0)),""))</f>
        <v/>
      </c>
      <c r="F110" s="10" t="str">
        <f>IF($C110="","",IFERROR(INDEX(Recursos!$F$2:$F$201,MATCH($C110,Recursos!$A$2:$A$201,0)),""))</f>
        <v/>
      </c>
      <c r="G110" s="18" t="str">
        <f>IF($C110="","",IFERROR(INDEX(Recursos!$G$2:$G$201,MATCH($C110,Recursos!$A$2:$A$201,0)),""))</f>
        <v/>
      </c>
      <c r="H110" s="11" t="s">
        <v>35</v>
      </c>
    </row>
    <row r="111" spans="1:8" x14ac:dyDescent="0.25">
      <c r="A111" s="10" t="str">
        <f>IF(OR($B111="",$C111="",$H111=""),"",PREFIJO_OPE&amp;TEXT(SUMPRODUCT(($B$3:$B111&lt;&gt;"")*($C$3:$C111&lt;&gt;"")*($H$3:$H111&lt;&gt;"")),"000"))</f>
        <v/>
      </c>
      <c r="B111" s="14"/>
      <c r="C111" s="14"/>
      <c r="D111" s="10" t="str">
        <f>IF($C111="","",IFERROR(INDEX(Recursos!$D$2:$D$201,MATCH($C111,Recursos!$A$2:$A$201,0)),""))</f>
        <v/>
      </c>
      <c r="E111" s="10" t="str">
        <f>IF($C111="","",IFERROR(INDEX(Recursos!$B$2:$B$201,MATCH($C111,Recursos!$A$2:$A$201,0)),""))</f>
        <v/>
      </c>
      <c r="F111" s="10" t="str">
        <f>IF($C111="","",IFERROR(INDEX(Recursos!$F$2:$F$201,MATCH($C111,Recursos!$A$2:$A$201,0)),""))</f>
        <v/>
      </c>
      <c r="G111" s="18" t="str">
        <f>IF($C111="","",IFERROR(INDEX(Recursos!$G$2:$G$201,MATCH($C111,Recursos!$A$2:$A$201,0)),""))</f>
        <v/>
      </c>
      <c r="H111" s="11" t="s">
        <v>35</v>
      </c>
    </row>
    <row r="112" spans="1:8" x14ac:dyDescent="0.25">
      <c r="A112" s="10" t="str">
        <f>IF(OR($B112="",$C112="",$H112=""),"",PREFIJO_OPE&amp;TEXT(SUMPRODUCT(($B$3:$B112&lt;&gt;"")*($C$3:$C112&lt;&gt;"")*($H$3:$H112&lt;&gt;"")),"000"))</f>
        <v/>
      </c>
      <c r="B112" s="14"/>
      <c r="C112" s="14"/>
      <c r="D112" s="10" t="str">
        <f>IF($C112="","",IFERROR(INDEX(Recursos!$D$2:$D$201,MATCH($C112,Recursos!$A$2:$A$201,0)),""))</f>
        <v/>
      </c>
      <c r="E112" s="10" t="str">
        <f>IF($C112="","",IFERROR(INDEX(Recursos!$B$2:$B$201,MATCH($C112,Recursos!$A$2:$A$201,0)),""))</f>
        <v/>
      </c>
      <c r="F112" s="10" t="str">
        <f>IF($C112="","",IFERROR(INDEX(Recursos!$F$2:$F$201,MATCH($C112,Recursos!$A$2:$A$201,0)),""))</f>
        <v/>
      </c>
      <c r="G112" s="18" t="str">
        <f>IF($C112="","",IFERROR(INDEX(Recursos!$G$2:$G$201,MATCH($C112,Recursos!$A$2:$A$201,0)),""))</f>
        <v/>
      </c>
      <c r="H112" s="11" t="s">
        <v>35</v>
      </c>
    </row>
    <row r="113" spans="1:8" x14ac:dyDescent="0.25">
      <c r="A113" s="10" t="str">
        <f>IF(OR($B113="",$C113="",$H113=""),"",PREFIJO_OPE&amp;TEXT(SUMPRODUCT(($B$3:$B113&lt;&gt;"")*($C$3:$C113&lt;&gt;"")*($H$3:$H113&lt;&gt;"")),"000"))</f>
        <v/>
      </c>
      <c r="B113" s="14"/>
      <c r="C113" s="14"/>
      <c r="D113" s="10" t="str">
        <f>IF($C113="","",IFERROR(INDEX(Recursos!$D$2:$D$201,MATCH($C113,Recursos!$A$2:$A$201,0)),""))</f>
        <v/>
      </c>
      <c r="E113" s="10" t="str">
        <f>IF($C113="","",IFERROR(INDEX(Recursos!$B$2:$B$201,MATCH($C113,Recursos!$A$2:$A$201,0)),""))</f>
        <v/>
      </c>
      <c r="F113" s="10" t="str">
        <f>IF($C113="","",IFERROR(INDEX(Recursos!$F$2:$F$201,MATCH($C113,Recursos!$A$2:$A$201,0)),""))</f>
        <v/>
      </c>
      <c r="G113" s="18" t="str">
        <f>IF($C113="","",IFERROR(INDEX(Recursos!$G$2:$G$201,MATCH($C113,Recursos!$A$2:$A$201,0)),""))</f>
        <v/>
      </c>
      <c r="H113" s="11" t="s">
        <v>35</v>
      </c>
    </row>
    <row r="114" spans="1:8" x14ac:dyDescent="0.25">
      <c r="A114" s="10" t="str">
        <f>IF(OR($B114="",$C114="",$H114=""),"",PREFIJO_OPE&amp;TEXT(SUMPRODUCT(($B$3:$B114&lt;&gt;"")*($C$3:$C114&lt;&gt;"")*($H$3:$H114&lt;&gt;"")),"000"))</f>
        <v/>
      </c>
      <c r="B114" s="14"/>
      <c r="C114" s="14"/>
      <c r="D114" s="10" t="str">
        <f>IF($C114="","",IFERROR(INDEX(Recursos!$D$2:$D$201,MATCH($C114,Recursos!$A$2:$A$201,0)),""))</f>
        <v/>
      </c>
      <c r="E114" s="10" t="str">
        <f>IF($C114="","",IFERROR(INDEX(Recursos!$B$2:$B$201,MATCH($C114,Recursos!$A$2:$A$201,0)),""))</f>
        <v/>
      </c>
      <c r="F114" s="10" t="str">
        <f>IF($C114="","",IFERROR(INDEX(Recursos!$F$2:$F$201,MATCH($C114,Recursos!$A$2:$A$201,0)),""))</f>
        <v/>
      </c>
      <c r="G114" s="18" t="str">
        <f>IF($C114="","",IFERROR(INDEX(Recursos!$G$2:$G$201,MATCH($C114,Recursos!$A$2:$A$201,0)),""))</f>
        <v/>
      </c>
      <c r="H114" s="11" t="s">
        <v>35</v>
      </c>
    </row>
    <row r="115" spans="1:8" x14ac:dyDescent="0.25">
      <c r="A115" s="10" t="str">
        <f>IF(OR($B115="",$C115="",$H115=""),"",PREFIJO_OPE&amp;TEXT(SUMPRODUCT(($B$3:$B115&lt;&gt;"")*($C$3:$C115&lt;&gt;"")*($H$3:$H115&lt;&gt;"")),"000"))</f>
        <v/>
      </c>
      <c r="B115" s="14"/>
      <c r="C115" s="14"/>
      <c r="D115" s="10" t="str">
        <f>IF($C115="","",IFERROR(INDEX(Recursos!$D$2:$D$201,MATCH($C115,Recursos!$A$2:$A$201,0)),""))</f>
        <v/>
      </c>
      <c r="E115" s="10" t="str">
        <f>IF($C115="","",IFERROR(INDEX(Recursos!$B$2:$B$201,MATCH($C115,Recursos!$A$2:$A$201,0)),""))</f>
        <v/>
      </c>
      <c r="F115" s="10" t="str">
        <f>IF($C115="","",IFERROR(INDEX(Recursos!$F$2:$F$201,MATCH($C115,Recursos!$A$2:$A$201,0)),""))</f>
        <v/>
      </c>
      <c r="G115" s="18" t="str">
        <f>IF($C115="","",IFERROR(INDEX(Recursos!$G$2:$G$201,MATCH($C115,Recursos!$A$2:$A$201,0)),""))</f>
        <v/>
      </c>
      <c r="H115" s="11" t="s">
        <v>35</v>
      </c>
    </row>
    <row r="116" spans="1:8" x14ac:dyDescent="0.25">
      <c r="A116" s="10" t="str">
        <f>IF(OR($B116="",$C116="",$H116=""),"",PREFIJO_OPE&amp;TEXT(SUMPRODUCT(($B$3:$B116&lt;&gt;"")*($C$3:$C116&lt;&gt;"")*($H$3:$H116&lt;&gt;"")),"000"))</f>
        <v/>
      </c>
      <c r="B116" s="14"/>
      <c r="C116" s="14"/>
      <c r="D116" s="10" t="str">
        <f>IF($C116="","",IFERROR(INDEX(Recursos!$D$2:$D$201,MATCH($C116,Recursos!$A$2:$A$201,0)),""))</f>
        <v/>
      </c>
      <c r="E116" s="10" t="str">
        <f>IF($C116="","",IFERROR(INDEX(Recursos!$B$2:$B$201,MATCH($C116,Recursos!$A$2:$A$201,0)),""))</f>
        <v/>
      </c>
      <c r="F116" s="10" t="str">
        <f>IF($C116="","",IFERROR(INDEX(Recursos!$F$2:$F$201,MATCH($C116,Recursos!$A$2:$A$201,0)),""))</f>
        <v/>
      </c>
      <c r="G116" s="18" t="str">
        <f>IF($C116="","",IFERROR(INDEX(Recursos!$G$2:$G$201,MATCH($C116,Recursos!$A$2:$A$201,0)),""))</f>
        <v/>
      </c>
      <c r="H116" s="11" t="s">
        <v>35</v>
      </c>
    </row>
    <row r="117" spans="1:8" x14ac:dyDescent="0.25">
      <c r="A117" s="10" t="str">
        <f>IF(OR($B117="",$C117="",$H117=""),"",PREFIJO_OPE&amp;TEXT(SUMPRODUCT(($B$3:$B117&lt;&gt;"")*($C$3:$C117&lt;&gt;"")*($H$3:$H117&lt;&gt;"")),"000"))</f>
        <v/>
      </c>
      <c r="B117" s="14"/>
      <c r="C117" s="14"/>
      <c r="D117" s="10" t="str">
        <f>IF($C117="","",IFERROR(INDEX(Recursos!$D$2:$D$201,MATCH($C117,Recursos!$A$2:$A$201,0)),""))</f>
        <v/>
      </c>
      <c r="E117" s="10" t="str">
        <f>IF($C117="","",IFERROR(INDEX(Recursos!$B$2:$B$201,MATCH($C117,Recursos!$A$2:$A$201,0)),""))</f>
        <v/>
      </c>
      <c r="F117" s="10" t="str">
        <f>IF($C117="","",IFERROR(INDEX(Recursos!$F$2:$F$201,MATCH($C117,Recursos!$A$2:$A$201,0)),""))</f>
        <v/>
      </c>
      <c r="G117" s="18" t="str">
        <f>IF($C117="","",IFERROR(INDEX(Recursos!$G$2:$G$201,MATCH($C117,Recursos!$A$2:$A$201,0)),""))</f>
        <v/>
      </c>
      <c r="H117" s="11" t="s">
        <v>35</v>
      </c>
    </row>
    <row r="118" spans="1:8" x14ac:dyDescent="0.25">
      <c r="A118" s="10" t="str">
        <f>IF(OR($B118="",$C118="",$H118=""),"",PREFIJO_OPE&amp;TEXT(SUMPRODUCT(($B$3:$B118&lt;&gt;"")*($C$3:$C118&lt;&gt;"")*($H$3:$H118&lt;&gt;"")),"000"))</f>
        <v/>
      </c>
      <c r="B118" s="14"/>
      <c r="C118" s="14"/>
      <c r="D118" s="10" t="str">
        <f>IF($C118="","",IFERROR(INDEX(Recursos!$D$2:$D$201,MATCH($C118,Recursos!$A$2:$A$201,0)),""))</f>
        <v/>
      </c>
      <c r="E118" s="10" t="str">
        <f>IF($C118="","",IFERROR(INDEX(Recursos!$B$2:$B$201,MATCH($C118,Recursos!$A$2:$A$201,0)),""))</f>
        <v/>
      </c>
      <c r="F118" s="10" t="str">
        <f>IF($C118="","",IFERROR(INDEX(Recursos!$F$2:$F$201,MATCH($C118,Recursos!$A$2:$A$201,0)),""))</f>
        <v/>
      </c>
      <c r="G118" s="18" t="str">
        <f>IF($C118="","",IFERROR(INDEX(Recursos!$G$2:$G$201,MATCH($C118,Recursos!$A$2:$A$201,0)),""))</f>
        <v/>
      </c>
      <c r="H118" s="11" t="s">
        <v>35</v>
      </c>
    </row>
    <row r="119" spans="1:8" x14ac:dyDescent="0.25">
      <c r="A119" s="10" t="str">
        <f>IF(OR($B119="",$C119="",$H119=""),"",PREFIJO_OPE&amp;TEXT(SUMPRODUCT(($B$3:$B119&lt;&gt;"")*($C$3:$C119&lt;&gt;"")*($H$3:$H119&lt;&gt;"")),"000"))</f>
        <v/>
      </c>
      <c r="B119" s="14"/>
      <c r="C119" s="14"/>
      <c r="D119" s="10" t="str">
        <f>IF($C119="","",IFERROR(INDEX(Recursos!$D$2:$D$201,MATCH($C119,Recursos!$A$2:$A$201,0)),""))</f>
        <v/>
      </c>
      <c r="E119" s="10" t="str">
        <f>IF($C119="","",IFERROR(INDEX(Recursos!$B$2:$B$201,MATCH($C119,Recursos!$A$2:$A$201,0)),""))</f>
        <v/>
      </c>
      <c r="F119" s="10" t="str">
        <f>IF($C119="","",IFERROR(INDEX(Recursos!$F$2:$F$201,MATCH($C119,Recursos!$A$2:$A$201,0)),""))</f>
        <v/>
      </c>
      <c r="G119" s="18" t="str">
        <f>IF($C119="","",IFERROR(INDEX(Recursos!$G$2:$G$201,MATCH($C119,Recursos!$A$2:$A$201,0)),""))</f>
        <v/>
      </c>
      <c r="H119" s="11" t="s">
        <v>35</v>
      </c>
    </row>
    <row r="120" spans="1:8" x14ac:dyDescent="0.25">
      <c r="A120" s="10" t="str">
        <f>IF(OR($B120="",$C120="",$H120=""),"",PREFIJO_OPE&amp;TEXT(SUMPRODUCT(($B$3:$B120&lt;&gt;"")*($C$3:$C120&lt;&gt;"")*($H$3:$H120&lt;&gt;"")),"000"))</f>
        <v/>
      </c>
      <c r="B120" s="14"/>
      <c r="C120" s="14"/>
      <c r="D120" s="10" t="str">
        <f>IF($C120="","",IFERROR(INDEX(Recursos!$D$2:$D$201,MATCH($C120,Recursos!$A$2:$A$201,0)),""))</f>
        <v/>
      </c>
      <c r="E120" s="10" t="str">
        <f>IF($C120="","",IFERROR(INDEX(Recursos!$B$2:$B$201,MATCH($C120,Recursos!$A$2:$A$201,0)),""))</f>
        <v/>
      </c>
      <c r="F120" s="10" t="str">
        <f>IF($C120="","",IFERROR(INDEX(Recursos!$F$2:$F$201,MATCH($C120,Recursos!$A$2:$A$201,0)),""))</f>
        <v/>
      </c>
      <c r="G120" s="18" t="str">
        <f>IF($C120="","",IFERROR(INDEX(Recursos!$G$2:$G$201,MATCH($C120,Recursos!$A$2:$A$201,0)),""))</f>
        <v/>
      </c>
      <c r="H120" s="11" t="s">
        <v>35</v>
      </c>
    </row>
    <row r="121" spans="1:8" x14ac:dyDescent="0.25">
      <c r="A121" s="10" t="str">
        <f>IF(OR($B121="",$C121="",$H121=""),"",PREFIJO_OPE&amp;TEXT(SUMPRODUCT(($B$3:$B121&lt;&gt;"")*($C$3:$C121&lt;&gt;"")*($H$3:$H121&lt;&gt;"")),"000"))</f>
        <v/>
      </c>
      <c r="B121" s="14"/>
      <c r="C121" s="14"/>
      <c r="D121" s="10" t="str">
        <f>IF($C121="","",IFERROR(INDEX(Recursos!$D$2:$D$201,MATCH($C121,Recursos!$A$2:$A$201,0)),""))</f>
        <v/>
      </c>
      <c r="E121" s="10" t="str">
        <f>IF($C121="","",IFERROR(INDEX(Recursos!$B$2:$B$201,MATCH($C121,Recursos!$A$2:$A$201,0)),""))</f>
        <v/>
      </c>
      <c r="F121" s="10" t="str">
        <f>IF($C121="","",IFERROR(INDEX(Recursos!$F$2:$F$201,MATCH($C121,Recursos!$A$2:$A$201,0)),""))</f>
        <v/>
      </c>
      <c r="G121" s="18" t="str">
        <f>IF($C121="","",IFERROR(INDEX(Recursos!$G$2:$G$201,MATCH($C121,Recursos!$A$2:$A$201,0)),""))</f>
        <v/>
      </c>
      <c r="H121" s="11" t="s">
        <v>35</v>
      </c>
    </row>
    <row r="122" spans="1:8" x14ac:dyDescent="0.25">
      <c r="A122" s="10" t="str">
        <f>IF(OR($B122="",$C122="",$H122=""),"",PREFIJO_OPE&amp;TEXT(SUMPRODUCT(($B$3:$B122&lt;&gt;"")*($C$3:$C122&lt;&gt;"")*($H$3:$H122&lt;&gt;"")),"000"))</f>
        <v/>
      </c>
      <c r="B122" s="14"/>
      <c r="C122" s="14"/>
      <c r="D122" s="10" t="str">
        <f>IF($C122="","",IFERROR(INDEX(Recursos!$D$2:$D$201,MATCH($C122,Recursos!$A$2:$A$201,0)),""))</f>
        <v/>
      </c>
      <c r="E122" s="10" t="str">
        <f>IF($C122="","",IFERROR(INDEX(Recursos!$B$2:$B$201,MATCH($C122,Recursos!$A$2:$A$201,0)),""))</f>
        <v/>
      </c>
      <c r="F122" s="10" t="str">
        <f>IF($C122="","",IFERROR(INDEX(Recursos!$F$2:$F$201,MATCH($C122,Recursos!$A$2:$A$201,0)),""))</f>
        <v/>
      </c>
      <c r="G122" s="18" t="str">
        <f>IF($C122="","",IFERROR(INDEX(Recursos!$G$2:$G$201,MATCH($C122,Recursos!$A$2:$A$201,0)),""))</f>
        <v/>
      </c>
      <c r="H122" s="11" t="s">
        <v>35</v>
      </c>
    </row>
    <row r="123" spans="1:8" x14ac:dyDescent="0.25">
      <c r="A123" s="10" t="str">
        <f>IF(OR($B123="",$C123="",$H123=""),"",PREFIJO_OPE&amp;TEXT(SUMPRODUCT(($B$3:$B123&lt;&gt;"")*($C$3:$C123&lt;&gt;"")*($H$3:$H123&lt;&gt;"")),"000"))</f>
        <v/>
      </c>
      <c r="B123" s="14"/>
      <c r="C123" s="14"/>
      <c r="D123" s="10" t="str">
        <f>IF($C123="","",IFERROR(INDEX(Recursos!$D$2:$D$201,MATCH($C123,Recursos!$A$2:$A$201,0)),""))</f>
        <v/>
      </c>
      <c r="E123" s="10" t="str">
        <f>IF($C123="","",IFERROR(INDEX(Recursos!$B$2:$B$201,MATCH($C123,Recursos!$A$2:$A$201,0)),""))</f>
        <v/>
      </c>
      <c r="F123" s="10" t="str">
        <f>IF($C123="","",IFERROR(INDEX(Recursos!$F$2:$F$201,MATCH($C123,Recursos!$A$2:$A$201,0)),""))</f>
        <v/>
      </c>
      <c r="G123" s="18" t="str">
        <f>IF($C123="","",IFERROR(INDEX(Recursos!$G$2:$G$201,MATCH($C123,Recursos!$A$2:$A$201,0)),""))</f>
        <v/>
      </c>
      <c r="H123" s="11" t="s">
        <v>35</v>
      </c>
    </row>
    <row r="124" spans="1:8" x14ac:dyDescent="0.25">
      <c r="A124" s="10" t="str">
        <f>IF(OR($B124="",$C124="",$H124=""),"",PREFIJO_OPE&amp;TEXT(SUMPRODUCT(($B$3:$B124&lt;&gt;"")*($C$3:$C124&lt;&gt;"")*($H$3:$H124&lt;&gt;"")),"000"))</f>
        <v/>
      </c>
      <c r="B124" s="14"/>
      <c r="C124" s="14"/>
      <c r="D124" s="10" t="str">
        <f>IF($C124="","",IFERROR(INDEX(Recursos!$D$2:$D$201,MATCH($C124,Recursos!$A$2:$A$201,0)),""))</f>
        <v/>
      </c>
      <c r="E124" s="10" t="str">
        <f>IF($C124="","",IFERROR(INDEX(Recursos!$B$2:$B$201,MATCH($C124,Recursos!$A$2:$A$201,0)),""))</f>
        <v/>
      </c>
      <c r="F124" s="10" t="str">
        <f>IF($C124="","",IFERROR(INDEX(Recursos!$F$2:$F$201,MATCH($C124,Recursos!$A$2:$A$201,0)),""))</f>
        <v/>
      </c>
      <c r="G124" s="18" t="str">
        <f>IF($C124="","",IFERROR(INDEX(Recursos!$G$2:$G$201,MATCH($C124,Recursos!$A$2:$A$201,0)),""))</f>
        <v/>
      </c>
      <c r="H124" s="11" t="s">
        <v>35</v>
      </c>
    </row>
    <row r="125" spans="1:8" x14ac:dyDescent="0.25">
      <c r="A125" s="10" t="str">
        <f>IF(OR($B125="",$C125="",$H125=""),"",PREFIJO_OPE&amp;TEXT(SUMPRODUCT(($B$3:$B125&lt;&gt;"")*($C$3:$C125&lt;&gt;"")*($H$3:$H125&lt;&gt;"")),"000"))</f>
        <v/>
      </c>
      <c r="B125" s="14"/>
      <c r="C125" s="14"/>
      <c r="D125" s="10" t="str">
        <f>IF($C125="","",IFERROR(INDEX(Recursos!$D$2:$D$201,MATCH($C125,Recursos!$A$2:$A$201,0)),""))</f>
        <v/>
      </c>
      <c r="E125" s="10" t="str">
        <f>IF($C125="","",IFERROR(INDEX(Recursos!$B$2:$B$201,MATCH($C125,Recursos!$A$2:$A$201,0)),""))</f>
        <v/>
      </c>
      <c r="F125" s="10" t="str">
        <f>IF($C125="","",IFERROR(INDEX(Recursos!$F$2:$F$201,MATCH($C125,Recursos!$A$2:$A$201,0)),""))</f>
        <v/>
      </c>
      <c r="G125" s="18" t="str">
        <f>IF($C125="","",IFERROR(INDEX(Recursos!$G$2:$G$201,MATCH($C125,Recursos!$A$2:$A$201,0)),""))</f>
        <v/>
      </c>
      <c r="H125" s="11" t="s">
        <v>35</v>
      </c>
    </row>
    <row r="126" spans="1:8" x14ac:dyDescent="0.25">
      <c r="A126" s="10" t="str">
        <f>IF(OR($B126="",$C126="",$H126=""),"",PREFIJO_OPE&amp;TEXT(SUMPRODUCT(($B$3:$B126&lt;&gt;"")*($C$3:$C126&lt;&gt;"")*($H$3:$H126&lt;&gt;"")),"000"))</f>
        <v/>
      </c>
      <c r="B126" s="14"/>
      <c r="C126" s="14"/>
      <c r="D126" s="10" t="str">
        <f>IF($C126="","",IFERROR(INDEX(Recursos!$D$2:$D$201,MATCH($C126,Recursos!$A$2:$A$201,0)),""))</f>
        <v/>
      </c>
      <c r="E126" s="10" t="str">
        <f>IF($C126="","",IFERROR(INDEX(Recursos!$B$2:$B$201,MATCH($C126,Recursos!$A$2:$A$201,0)),""))</f>
        <v/>
      </c>
      <c r="F126" s="10" t="str">
        <f>IF($C126="","",IFERROR(INDEX(Recursos!$F$2:$F$201,MATCH($C126,Recursos!$A$2:$A$201,0)),""))</f>
        <v/>
      </c>
      <c r="G126" s="18" t="str">
        <f>IF($C126="","",IFERROR(INDEX(Recursos!$G$2:$G$201,MATCH($C126,Recursos!$A$2:$A$201,0)),""))</f>
        <v/>
      </c>
      <c r="H126" s="11" t="s">
        <v>35</v>
      </c>
    </row>
    <row r="127" spans="1:8" x14ac:dyDescent="0.25">
      <c r="A127" s="10" t="str">
        <f>IF(OR($B127="",$C127="",$H127=""),"",PREFIJO_OPE&amp;TEXT(SUMPRODUCT(($B$3:$B127&lt;&gt;"")*($C$3:$C127&lt;&gt;"")*($H$3:$H127&lt;&gt;"")),"000"))</f>
        <v/>
      </c>
      <c r="B127" s="14"/>
      <c r="C127" s="14"/>
      <c r="D127" s="10" t="str">
        <f>IF($C127="","",IFERROR(INDEX(Recursos!$D$2:$D$201,MATCH($C127,Recursos!$A$2:$A$201,0)),""))</f>
        <v/>
      </c>
      <c r="E127" s="10" t="str">
        <f>IF($C127="","",IFERROR(INDEX(Recursos!$B$2:$B$201,MATCH($C127,Recursos!$A$2:$A$201,0)),""))</f>
        <v/>
      </c>
      <c r="F127" s="10" t="str">
        <f>IF($C127="","",IFERROR(INDEX(Recursos!$F$2:$F$201,MATCH($C127,Recursos!$A$2:$A$201,0)),""))</f>
        <v/>
      </c>
      <c r="G127" s="18" t="str">
        <f>IF($C127="","",IFERROR(INDEX(Recursos!$G$2:$G$201,MATCH($C127,Recursos!$A$2:$A$201,0)),""))</f>
        <v/>
      </c>
      <c r="H127" s="11" t="s">
        <v>35</v>
      </c>
    </row>
    <row r="128" spans="1:8" x14ac:dyDescent="0.25">
      <c r="A128" s="10" t="str">
        <f>IF(OR($B128="",$C128="",$H128=""),"",PREFIJO_OPE&amp;TEXT(SUMPRODUCT(($B$3:$B128&lt;&gt;"")*($C$3:$C128&lt;&gt;"")*($H$3:$H128&lt;&gt;"")),"000"))</f>
        <v/>
      </c>
      <c r="B128" s="14"/>
      <c r="C128" s="14"/>
      <c r="D128" s="10" t="str">
        <f>IF($C128="","",IFERROR(INDEX(Recursos!$D$2:$D$201,MATCH($C128,Recursos!$A$2:$A$201,0)),""))</f>
        <v/>
      </c>
      <c r="E128" s="10" t="str">
        <f>IF($C128="","",IFERROR(INDEX(Recursos!$B$2:$B$201,MATCH($C128,Recursos!$A$2:$A$201,0)),""))</f>
        <v/>
      </c>
      <c r="F128" s="10" t="str">
        <f>IF($C128="","",IFERROR(INDEX(Recursos!$F$2:$F$201,MATCH($C128,Recursos!$A$2:$A$201,0)),""))</f>
        <v/>
      </c>
      <c r="G128" s="18" t="str">
        <f>IF($C128="","",IFERROR(INDEX(Recursos!$G$2:$G$201,MATCH($C128,Recursos!$A$2:$A$201,0)),""))</f>
        <v/>
      </c>
      <c r="H128" s="11" t="s">
        <v>35</v>
      </c>
    </row>
    <row r="129" spans="1:8" x14ac:dyDescent="0.25">
      <c r="A129" s="10" t="str">
        <f>IF(OR($B129="",$C129="",$H129=""),"",PREFIJO_OPE&amp;TEXT(SUMPRODUCT(($B$3:$B129&lt;&gt;"")*($C$3:$C129&lt;&gt;"")*($H$3:$H129&lt;&gt;"")),"000"))</f>
        <v/>
      </c>
      <c r="B129" s="14"/>
      <c r="C129" s="14"/>
      <c r="D129" s="10" t="str">
        <f>IF($C129="","",IFERROR(INDEX(Recursos!$D$2:$D$201,MATCH($C129,Recursos!$A$2:$A$201,0)),""))</f>
        <v/>
      </c>
      <c r="E129" s="10" t="str">
        <f>IF($C129="","",IFERROR(INDEX(Recursos!$B$2:$B$201,MATCH($C129,Recursos!$A$2:$A$201,0)),""))</f>
        <v/>
      </c>
      <c r="F129" s="10" t="str">
        <f>IF($C129="","",IFERROR(INDEX(Recursos!$F$2:$F$201,MATCH($C129,Recursos!$A$2:$A$201,0)),""))</f>
        <v/>
      </c>
      <c r="G129" s="18" t="str">
        <f>IF($C129="","",IFERROR(INDEX(Recursos!$G$2:$G$201,MATCH($C129,Recursos!$A$2:$A$201,0)),""))</f>
        <v/>
      </c>
      <c r="H129" s="11" t="s">
        <v>35</v>
      </c>
    </row>
    <row r="130" spans="1:8" x14ac:dyDescent="0.25">
      <c r="A130" s="10" t="str">
        <f>IF(OR($B130="",$C130="",$H130=""),"",PREFIJO_OPE&amp;TEXT(SUMPRODUCT(($B$3:$B130&lt;&gt;"")*($C$3:$C130&lt;&gt;"")*($H$3:$H130&lt;&gt;"")),"000"))</f>
        <v/>
      </c>
      <c r="B130" s="14"/>
      <c r="C130" s="14"/>
      <c r="D130" s="10" t="str">
        <f>IF($C130="","",IFERROR(INDEX(Recursos!$D$2:$D$201,MATCH($C130,Recursos!$A$2:$A$201,0)),""))</f>
        <v/>
      </c>
      <c r="E130" s="10" t="str">
        <f>IF($C130="","",IFERROR(INDEX(Recursos!$B$2:$B$201,MATCH($C130,Recursos!$A$2:$A$201,0)),""))</f>
        <v/>
      </c>
      <c r="F130" s="10" t="str">
        <f>IF($C130="","",IFERROR(INDEX(Recursos!$F$2:$F$201,MATCH($C130,Recursos!$A$2:$A$201,0)),""))</f>
        <v/>
      </c>
      <c r="G130" s="18" t="str">
        <f>IF($C130="","",IFERROR(INDEX(Recursos!$G$2:$G$201,MATCH($C130,Recursos!$A$2:$A$201,0)),""))</f>
        <v/>
      </c>
      <c r="H130" s="11" t="s">
        <v>35</v>
      </c>
    </row>
    <row r="131" spans="1:8" x14ac:dyDescent="0.25">
      <c r="A131" s="10" t="str">
        <f>IF(OR($B131="",$C131="",$H131=""),"",PREFIJO_OPE&amp;TEXT(SUMPRODUCT(($B$3:$B131&lt;&gt;"")*($C$3:$C131&lt;&gt;"")*($H$3:$H131&lt;&gt;"")),"000"))</f>
        <v/>
      </c>
      <c r="B131" s="14"/>
      <c r="C131" s="14"/>
      <c r="D131" s="10" t="str">
        <f>IF($C131="","",IFERROR(INDEX(Recursos!$D$2:$D$201,MATCH($C131,Recursos!$A$2:$A$201,0)),""))</f>
        <v/>
      </c>
      <c r="E131" s="10" t="str">
        <f>IF($C131="","",IFERROR(INDEX(Recursos!$B$2:$B$201,MATCH($C131,Recursos!$A$2:$A$201,0)),""))</f>
        <v/>
      </c>
      <c r="F131" s="10" t="str">
        <f>IF($C131="","",IFERROR(INDEX(Recursos!$F$2:$F$201,MATCH($C131,Recursos!$A$2:$A$201,0)),""))</f>
        <v/>
      </c>
      <c r="G131" s="18" t="str">
        <f>IF($C131="","",IFERROR(INDEX(Recursos!$G$2:$G$201,MATCH($C131,Recursos!$A$2:$A$201,0)),""))</f>
        <v/>
      </c>
      <c r="H131" s="11" t="s">
        <v>35</v>
      </c>
    </row>
    <row r="132" spans="1:8" x14ac:dyDescent="0.25">
      <c r="A132" s="10" t="str">
        <f>IF(OR($B132="",$C132="",$H132=""),"",PREFIJO_OPE&amp;TEXT(SUMPRODUCT(($B$3:$B132&lt;&gt;"")*($C$3:$C132&lt;&gt;"")*($H$3:$H132&lt;&gt;"")),"000"))</f>
        <v/>
      </c>
      <c r="B132" s="14"/>
      <c r="C132" s="14"/>
      <c r="D132" s="10" t="str">
        <f>IF($C132="","",IFERROR(INDEX(Recursos!$D$2:$D$201,MATCH($C132,Recursos!$A$2:$A$201,0)),""))</f>
        <v/>
      </c>
      <c r="E132" s="10" t="str">
        <f>IF($C132="","",IFERROR(INDEX(Recursos!$B$2:$B$201,MATCH($C132,Recursos!$A$2:$A$201,0)),""))</f>
        <v/>
      </c>
      <c r="F132" s="10" t="str">
        <f>IF($C132="","",IFERROR(INDEX(Recursos!$F$2:$F$201,MATCH($C132,Recursos!$A$2:$A$201,0)),""))</f>
        <v/>
      </c>
      <c r="G132" s="18" t="str">
        <f>IF($C132="","",IFERROR(INDEX(Recursos!$G$2:$G$201,MATCH($C132,Recursos!$A$2:$A$201,0)),""))</f>
        <v/>
      </c>
      <c r="H132" s="11" t="s">
        <v>35</v>
      </c>
    </row>
    <row r="133" spans="1:8" x14ac:dyDescent="0.25">
      <c r="A133" s="10" t="str">
        <f>IF(OR($B133="",$C133="",$H133=""),"",PREFIJO_OPE&amp;TEXT(SUMPRODUCT(($B$3:$B133&lt;&gt;"")*($C$3:$C133&lt;&gt;"")*($H$3:$H133&lt;&gt;"")),"000"))</f>
        <v/>
      </c>
      <c r="B133" s="14"/>
      <c r="C133" s="14"/>
      <c r="D133" s="10" t="str">
        <f>IF($C133="","",IFERROR(INDEX(Recursos!$D$2:$D$201,MATCH($C133,Recursos!$A$2:$A$201,0)),""))</f>
        <v/>
      </c>
      <c r="E133" s="10" t="str">
        <f>IF($C133="","",IFERROR(INDEX(Recursos!$B$2:$B$201,MATCH($C133,Recursos!$A$2:$A$201,0)),""))</f>
        <v/>
      </c>
      <c r="F133" s="10" t="str">
        <f>IF($C133="","",IFERROR(INDEX(Recursos!$F$2:$F$201,MATCH($C133,Recursos!$A$2:$A$201,0)),""))</f>
        <v/>
      </c>
      <c r="G133" s="18" t="str">
        <f>IF($C133="","",IFERROR(INDEX(Recursos!$G$2:$G$201,MATCH($C133,Recursos!$A$2:$A$201,0)),""))</f>
        <v/>
      </c>
      <c r="H133" s="11" t="s">
        <v>35</v>
      </c>
    </row>
    <row r="134" spans="1:8" x14ac:dyDescent="0.25">
      <c r="A134" s="10" t="str">
        <f>IF(OR($B134="",$C134="",$H134=""),"",PREFIJO_OPE&amp;TEXT(SUMPRODUCT(($B$3:$B134&lt;&gt;"")*($C$3:$C134&lt;&gt;"")*($H$3:$H134&lt;&gt;"")),"000"))</f>
        <v/>
      </c>
      <c r="B134" s="14"/>
      <c r="C134" s="14"/>
      <c r="D134" s="10" t="str">
        <f>IF($C134="","",IFERROR(INDEX(Recursos!$D$2:$D$201,MATCH($C134,Recursos!$A$2:$A$201,0)),""))</f>
        <v/>
      </c>
      <c r="E134" s="10" t="str">
        <f>IF($C134="","",IFERROR(INDEX(Recursos!$B$2:$B$201,MATCH($C134,Recursos!$A$2:$A$201,0)),""))</f>
        <v/>
      </c>
      <c r="F134" s="10" t="str">
        <f>IF($C134="","",IFERROR(INDEX(Recursos!$F$2:$F$201,MATCH($C134,Recursos!$A$2:$A$201,0)),""))</f>
        <v/>
      </c>
      <c r="G134" s="18" t="str">
        <f>IF($C134="","",IFERROR(INDEX(Recursos!$G$2:$G$201,MATCH($C134,Recursos!$A$2:$A$201,0)),""))</f>
        <v/>
      </c>
      <c r="H134" s="11" t="s">
        <v>35</v>
      </c>
    </row>
    <row r="135" spans="1:8" x14ac:dyDescent="0.25">
      <c r="A135" s="10" t="str">
        <f>IF(OR($B135="",$C135="",$H135=""),"",PREFIJO_OPE&amp;TEXT(SUMPRODUCT(($B$3:$B135&lt;&gt;"")*($C$3:$C135&lt;&gt;"")*($H$3:$H135&lt;&gt;"")),"000"))</f>
        <v/>
      </c>
      <c r="B135" s="14"/>
      <c r="C135" s="14"/>
      <c r="D135" s="10" t="str">
        <f>IF($C135="","",IFERROR(INDEX(Recursos!$D$2:$D$201,MATCH($C135,Recursos!$A$2:$A$201,0)),""))</f>
        <v/>
      </c>
      <c r="E135" s="10" t="str">
        <f>IF($C135="","",IFERROR(INDEX(Recursos!$B$2:$B$201,MATCH($C135,Recursos!$A$2:$A$201,0)),""))</f>
        <v/>
      </c>
      <c r="F135" s="10" t="str">
        <f>IF($C135="","",IFERROR(INDEX(Recursos!$F$2:$F$201,MATCH($C135,Recursos!$A$2:$A$201,0)),""))</f>
        <v/>
      </c>
      <c r="G135" s="18" t="str">
        <f>IF($C135="","",IFERROR(INDEX(Recursos!$G$2:$G$201,MATCH($C135,Recursos!$A$2:$A$201,0)),""))</f>
        <v/>
      </c>
      <c r="H135" s="11" t="s">
        <v>35</v>
      </c>
    </row>
    <row r="136" spans="1:8" x14ac:dyDescent="0.25">
      <c r="A136" s="10" t="str">
        <f>IF(OR($B136="",$C136="",$H136=""),"",PREFIJO_OPE&amp;TEXT(SUMPRODUCT(($B$3:$B136&lt;&gt;"")*($C$3:$C136&lt;&gt;"")*($H$3:$H136&lt;&gt;"")),"000"))</f>
        <v/>
      </c>
      <c r="B136" s="14"/>
      <c r="C136" s="14"/>
      <c r="D136" s="10" t="str">
        <f>IF($C136="","",IFERROR(INDEX(Recursos!$D$2:$D$201,MATCH($C136,Recursos!$A$2:$A$201,0)),""))</f>
        <v/>
      </c>
      <c r="E136" s="10" t="str">
        <f>IF($C136="","",IFERROR(INDEX(Recursos!$B$2:$B$201,MATCH($C136,Recursos!$A$2:$A$201,0)),""))</f>
        <v/>
      </c>
      <c r="F136" s="10" t="str">
        <f>IF($C136="","",IFERROR(INDEX(Recursos!$F$2:$F$201,MATCH($C136,Recursos!$A$2:$A$201,0)),""))</f>
        <v/>
      </c>
      <c r="G136" s="18" t="str">
        <f>IF($C136="","",IFERROR(INDEX(Recursos!$G$2:$G$201,MATCH($C136,Recursos!$A$2:$A$201,0)),""))</f>
        <v/>
      </c>
      <c r="H136" s="11" t="s">
        <v>35</v>
      </c>
    </row>
    <row r="137" spans="1:8" x14ac:dyDescent="0.25">
      <c r="A137" s="10" t="str">
        <f>IF(OR($B137="",$C137="",$H137=""),"",PREFIJO_OPE&amp;TEXT(SUMPRODUCT(($B$3:$B137&lt;&gt;"")*($C$3:$C137&lt;&gt;"")*($H$3:$H137&lt;&gt;"")),"000"))</f>
        <v/>
      </c>
      <c r="B137" s="14"/>
      <c r="C137" s="14"/>
      <c r="D137" s="10" t="str">
        <f>IF($C137="","",IFERROR(INDEX(Recursos!$D$2:$D$201,MATCH($C137,Recursos!$A$2:$A$201,0)),""))</f>
        <v/>
      </c>
      <c r="E137" s="10" t="str">
        <f>IF($C137="","",IFERROR(INDEX(Recursos!$B$2:$B$201,MATCH($C137,Recursos!$A$2:$A$201,0)),""))</f>
        <v/>
      </c>
      <c r="F137" s="10" t="str">
        <f>IF($C137="","",IFERROR(INDEX(Recursos!$F$2:$F$201,MATCH($C137,Recursos!$A$2:$A$201,0)),""))</f>
        <v/>
      </c>
      <c r="G137" s="18" t="str">
        <f>IF($C137="","",IFERROR(INDEX(Recursos!$G$2:$G$201,MATCH($C137,Recursos!$A$2:$A$201,0)),""))</f>
        <v/>
      </c>
      <c r="H137" s="11" t="s">
        <v>35</v>
      </c>
    </row>
    <row r="138" spans="1:8" x14ac:dyDescent="0.25">
      <c r="A138" s="10" t="str">
        <f>IF(OR($B138="",$C138="",$H138=""),"",PREFIJO_OPE&amp;TEXT(SUMPRODUCT(($B$3:$B138&lt;&gt;"")*($C$3:$C138&lt;&gt;"")*($H$3:$H138&lt;&gt;"")),"000"))</f>
        <v/>
      </c>
      <c r="B138" s="14"/>
      <c r="C138" s="14"/>
      <c r="D138" s="10" t="str">
        <f>IF($C138="","",IFERROR(INDEX(Recursos!$D$2:$D$201,MATCH($C138,Recursos!$A$2:$A$201,0)),""))</f>
        <v/>
      </c>
      <c r="E138" s="10" t="str">
        <f>IF($C138="","",IFERROR(INDEX(Recursos!$B$2:$B$201,MATCH($C138,Recursos!$A$2:$A$201,0)),""))</f>
        <v/>
      </c>
      <c r="F138" s="10" t="str">
        <f>IF($C138="","",IFERROR(INDEX(Recursos!$F$2:$F$201,MATCH($C138,Recursos!$A$2:$A$201,0)),""))</f>
        <v/>
      </c>
      <c r="G138" s="18" t="str">
        <f>IF($C138="","",IFERROR(INDEX(Recursos!$G$2:$G$201,MATCH($C138,Recursos!$A$2:$A$201,0)),""))</f>
        <v/>
      </c>
      <c r="H138" s="11" t="s">
        <v>35</v>
      </c>
    </row>
    <row r="139" spans="1:8" x14ac:dyDescent="0.25">
      <c r="A139" s="10" t="str">
        <f>IF(OR($B139="",$C139="",$H139=""),"",PREFIJO_OPE&amp;TEXT(SUMPRODUCT(($B$3:$B139&lt;&gt;"")*($C$3:$C139&lt;&gt;"")*($H$3:$H139&lt;&gt;"")),"000"))</f>
        <v/>
      </c>
      <c r="B139" s="14"/>
      <c r="C139" s="14"/>
      <c r="D139" s="10" t="str">
        <f>IF($C139="","",IFERROR(INDEX(Recursos!$D$2:$D$201,MATCH($C139,Recursos!$A$2:$A$201,0)),""))</f>
        <v/>
      </c>
      <c r="E139" s="10" t="str">
        <f>IF($C139="","",IFERROR(INDEX(Recursos!$B$2:$B$201,MATCH($C139,Recursos!$A$2:$A$201,0)),""))</f>
        <v/>
      </c>
      <c r="F139" s="10" t="str">
        <f>IF($C139="","",IFERROR(INDEX(Recursos!$F$2:$F$201,MATCH($C139,Recursos!$A$2:$A$201,0)),""))</f>
        <v/>
      </c>
      <c r="G139" s="18" t="str">
        <f>IF($C139="","",IFERROR(INDEX(Recursos!$G$2:$G$201,MATCH($C139,Recursos!$A$2:$A$201,0)),""))</f>
        <v/>
      </c>
      <c r="H139" s="11" t="s">
        <v>35</v>
      </c>
    </row>
    <row r="140" spans="1:8" x14ac:dyDescent="0.25">
      <c r="A140" s="10" t="str">
        <f>IF(OR($B140="",$C140="",$H140=""),"",PREFIJO_OPE&amp;TEXT(SUMPRODUCT(($B$3:$B140&lt;&gt;"")*($C$3:$C140&lt;&gt;"")*($H$3:$H140&lt;&gt;"")),"000"))</f>
        <v/>
      </c>
      <c r="B140" s="14"/>
      <c r="C140" s="14"/>
      <c r="D140" s="10" t="str">
        <f>IF($C140="","",IFERROR(INDEX(Recursos!$D$2:$D$201,MATCH($C140,Recursos!$A$2:$A$201,0)),""))</f>
        <v/>
      </c>
      <c r="E140" s="10" t="str">
        <f>IF($C140="","",IFERROR(INDEX(Recursos!$B$2:$B$201,MATCH($C140,Recursos!$A$2:$A$201,0)),""))</f>
        <v/>
      </c>
      <c r="F140" s="10" t="str">
        <f>IF($C140="","",IFERROR(INDEX(Recursos!$F$2:$F$201,MATCH($C140,Recursos!$A$2:$A$201,0)),""))</f>
        <v/>
      </c>
      <c r="G140" s="18" t="str">
        <f>IF($C140="","",IFERROR(INDEX(Recursos!$G$2:$G$201,MATCH($C140,Recursos!$A$2:$A$201,0)),""))</f>
        <v/>
      </c>
      <c r="H140" s="11" t="s">
        <v>35</v>
      </c>
    </row>
    <row r="141" spans="1:8" x14ac:dyDescent="0.25">
      <c r="A141" s="10" t="str">
        <f>IF(OR($B141="",$C141="",$H141=""),"",PREFIJO_OPE&amp;TEXT(SUMPRODUCT(($B$3:$B141&lt;&gt;"")*($C$3:$C141&lt;&gt;"")*($H$3:$H141&lt;&gt;"")),"000"))</f>
        <v/>
      </c>
      <c r="B141" s="14"/>
      <c r="C141" s="14"/>
      <c r="D141" s="10" t="str">
        <f>IF($C141="","",IFERROR(INDEX(Recursos!$D$2:$D$201,MATCH($C141,Recursos!$A$2:$A$201,0)),""))</f>
        <v/>
      </c>
      <c r="E141" s="10" t="str">
        <f>IF($C141="","",IFERROR(INDEX(Recursos!$B$2:$B$201,MATCH($C141,Recursos!$A$2:$A$201,0)),""))</f>
        <v/>
      </c>
      <c r="F141" s="10" t="str">
        <f>IF($C141="","",IFERROR(INDEX(Recursos!$F$2:$F$201,MATCH($C141,Recursos!$A$2:$A$201,0)),""))</f>
        <v/>
      </c>
      <c r="G141" s="18" t="str">
        <f>IF($C141="","",IFERROR(INDEX(Recursos!$G$2:$G$201,MATCH($C141,Recursos!$A$2:$A$201,0)),""))</f>
        <v/>
      </c>
      <c r="H141" s="11" t="s">
        <v>35</v>
      </c>
    </row>
    <row r="142" spans="1:8" x14ac:dyDescent="0.25">
      <c r="A142" s="10" t="str">
        <f>IF(OR($B142="",$C142="",$H142=""),"",PREFIJO_OPE&amp;TEXT(SUMPRODUCT(($B$3:$B142&lt;&gt;"")*($C$3:$C142&lt;&gt;"")*($H$3:$H142&lt;&gt;"")),"000"))</f>
        <v/>
      </c>
      <c r="B142" s="14"/>
      <c r="C142" s="14"/>
      <c r="D142" s="10" t="str">
        <f>IF($C142="","",IFERROR(INDEX(Recursos!$D$2:$D$201,MATCH($C142,Recursos!$A$2:$A$201,0)),""))</f>
        <v/>
      </c>
      <c r="E142" s="10" t="str">
        <f>IF($C142="","",IFERROR(INDEX(Recursos!$B$2:$B$201,MATCH($C142,Recursos!$A$2:$A$201,0)),""))</f>
        <v/>
      </c>
      <c r="F142" s="10" t="str">
        <f>IF($C142="","",IFERROR(INDEX(Recursos!$F$2:$F$201,MATCH($C142,Recursos!$A$2:$A$201,0)),""))</f>
        <v/>
      </c>
      <c r="G142" s="18" t="str">
        <f>IF($C142="","",IFERROR(INDEX(Recursos!$G$2:$G$201,MATCH($C142,Recursos!$A$2:$A$201,0)),""))</f>
        <v/>
      </c>
      <c r="H142" s="11" t="s">
        <v>35</v>
      </c>
    </row>
    <row r="143" spans="1:8" x14ac:dyDescent="0.25">
      <c r="A143" s="10" t="str">
        <f>IF(OR($B143="",$C143="",$H143=""),"",PREFIJO_OPE&amp;TEXT(SUMPRODUCT(($B$3:$B143&lt;&gt;"")*($C$3:$C143&lt;&gt;"")*($H$3:$H143&lt;&gt;"")),"000"))</f>
        <v/>
      </c>
      <c r="B143" s="14"/>
      <c r="C143" s="14"/>
      <c r="D143" s="10" t="str">
        <f>IF($C143="","",IFERROR(INDEX(Recursos!$D$2:$D$201,MATCH($C143,Recursos!$A$2:$A$201,0)),""))</f>
        <v/>
      </c>
      <c r="E143" s="10" t="str">
        <f>IF($C143="","",IFERROR(INDEX(Recursos!$B$2:$B$201,MATCH($C143,Recursos!$A$2:$A$201,0)),""))</f>
        <v/>
      </c>
      <c r="F143" s="10" t="str">
        <f>IF($C143="","",IFERROR(INDEX(Recursos!$F$2:$F$201,MATCH($C143,Recursos!$A$2:$A$201,0)),""))</f>
        <v/>
      </c>
      <c r="G143" s="18" t="str">
        <f>IF($C143="","",IFERROR(INDEX(Recursos!$G$2:$G$201,MATCH($C143,Recursos!$A$2:$A$201,0)),""))</f>
        <v/>
      </c>
      <c r="H143" s="11" t="s">
        <v>35</v>
      </c>
    </row>
    <row r="144" spans="1:8" x14ac:dyDescent="0.25">
      <c r="A144" s="10" t="str">
        <f>IF(OR($B144="",$C144="",$H144=""),"",PREFIJO_OPE&amp;TEXT(SUMPRODUCT(($B$3:$B144&lt;&gt;"")*($C$3:$C144&lt;&gt;"")*($H$3:$H144&lt;&gt;"")),"000"))</f>
        <v/>
      </c>
      <c r="B144" s="14"/>
      <c r="C144" s="14"/>
      <c r="D144" s="10" t="str">
        <f>IF($C144="","",IFERROR(INDEX(Recursos!$D$2:$D$201,MATCH($C144,Recursos!$A$2:$A$201,0)),""))</f>
        <v/>
      </c>
      <c r="E144" s="10" t="str">
        <f>IF($C144="","",IFERROR(INDEX(Recursos!$B$2:$B$201,MATCH($C144,Recursos!$A$2:$A$201,0)),""))</f>
        <v/>
      </c>
      <c r="F144" s="10" t="str">
        <f>IF($C144="","",IFERROR(INDEX(Recursos!$F$2:$F$201,MATCH($C144,Recursos!$A$2:$A$201,0)),""))</f>
        <v/>
      </c>
      <c r="G144" s="18" t="str">
        <f>IF($C144="","",IFERROR(INDEX(Recursos!$G$2:$G$201,MATCH($C144,Recursos!$A$2:$A$201,0)),""))</f>
        <v/>
      </c>
      <c r="H144" s="11" t="s">
        <v>35</v>
      </c>
    </row>
    <row r="145" spans="1:8" x14ac:dyDescent="0.25">
      <c r="A145" s="10" t="str">
        <f>IF(OR($B145="",$C145="",$H145=""),"",PREFIJO_OPE&amp;TEXT(SUMPRODUCT(($B$3:$B145&lt;&gt;"")*($C$3:$C145&lt;&gt;"")*($H$3:$H145&lt;&gt;"")),"000"))</f>
        <v/>
      </c>
      <c r="B145" s="14"/>
      <c r="C145" s="14"/>
      <c r="D145" s="10" t="str">
        <f>IF($C145="","",IFERROR(INDEX(Recursos!$D$2:$D$201,MATCH($C145,Recursos!$A$2:$A$201,0)),""))</f>
        <v/>
      </c>
      <c r="E145" s="10" t="str">
        <f>IF($C145="","",IFERROR(INDEX(Recursos!$B$2:$B$201,MATCH($C145,Recursos!$A$2:$A$201,0)),""))</f>
        <v/>
      </c>
      <c r="F145" s="10" t="str">
        <f>IF($C145="","",IFERROR(INDEX(Recursos!$F$2:$F$201,MATCH($C145,Recursos!$A$2:$A$201,0)),""))</f>
        <v/>
      </c>
      <c r="G145" s="18" t="str">
        <f>IF($C145="","",IFERROR(INDEX(Recursos!$G$2:$G$201,MATCH($C145,Recursos!$A$2:$A$201,0)),""))</f>
        <v/>
      </c>
      <c r="H145" s="11" t="s">
        <v>35</v>
      </c>
    </row>
    <row r="146" spans="1:8" x14ac:dyDescent="0.25">
      <c r="A146" s="10" t="str">
        <f>IF(OR($B146="",$C146="",$H146=""),"",PREFIJO_OPE&amp;TEXT(SUMPRODUCT(($B$3:$B146&lt;&gt;"")*($C$3:$C146&lt;&gt;"")*($H$3:$H146&lt;&gt;"")),"000"))</f>
        <v/>
      </c>
      <c r="B146" s="14"/>
      <c r="C146" s="14"/>
      <c r="D146" s="10" t="str">
        <f>IF($C146="","",IFERROR(INDEX(Recursos!$D$2:$D$201,MATCH($C146,Recursos!$A$2:$A$201,0)),""))</f>
        <v/>
      </c>
      <c r="E146" s="10" t="str">
        <f>IF($C146="","",IFERROR(INDEX(Recursos!$B$2:$B$201,MATCH($C146,Recursos!$A$2:$A$201,0)),""))</f>
        <v/>
      </c>
      <c r="F146" s="10" t="str">
        <f>IF($C146="","",IFERROR(INDEX(Recursos!$F$2:$F$201,MATCH($C146,Recursos!$A$2:$A$201,0)),""))</f>
        <v/>
      </c>
      <c r="G146" s="18" t="str">
        <f>IF($C146="","",IFERROR(INDEX(Recursos!$G$2:$G$201,MATCH($C146,Recursos!$A$2:$A$201,0)),""))</f>
        <v/>
      </c>
      <c r="H146" s="11" t="s">
        <v>35</v>
      </c>
    </row>
    <row r="147" spans="1:8" x14ac:dyDescent="0.25">
      <c r="A147" s="10" t="str">
        <f>IF(OR($B147="",$C147="",$H147=""),"",PREFIJO_OPE&amp;TEXT(SUMPRODUCT(($B$3:$B147&lt;&gt;"")*($C$3:$C147&lt;&gt;"")*($H$3:$H147&lt;&gt;"")),"000"))</f>
        <v/>
      </c>
      <c r="B147" s="14"/>
      <c r="C147" s="14"/>
      <c r="D147" s="10" t="str">
        <f>IF($C147="","",IFERROR(INDEX(Recursos!$D$2:$D$201,MATCH($C147,Recursos!$A$2:$A$201,0)),""))</f>
        <v/>
      </c>
      <c r="E147" s="10" t="str">
        <f>IF($C147="","",IFERROR(INDEX(Recursos!$B$2:$B$201,MATCH($C147,Recursos!$A$2:$A$201,0)),""))</f>
        <v/>
      </c>
      <c r="F147" s="10" t="str">
        <f>IF($C147="","",IFERROR(INDEX(Recursos!$F$2:$F$201,MATCH($C147,Recursos!$A$2:$A$201,0)),""))</f>
        <v/>
      </c>
      <c r="G147" s="18" t="str">
        <f>IF($C147="","",IFERROR(INDEX(Recursos!$G$2:$G$201,MATCH($C147,Recursos!$A$2:$A$201,0)),""))</f>
        <v/>
      </c>
      <c r="H147" s="11" t="s">
        <v>35</v>
      </c>
    </row>
    <row r="148" spans="1:8" x14ac:dyDescent="0.25">
      <c r="A148" s="10" t="str">
        <f>IF(OR($B148="",$C148="",$H148=""),"",PREFIJO_OPE&amp;TEXT(SUMPRODUCT(($B$3:$B148&lt;&gt;"")*($C$3:$C148&lt;&gt;"")*($H$3:$H148&lt;&gt;"")),"000"))</f>
        <v/>
      </c>
      <c r="B148" s="14"/>
      <c r="C148" s="14"/>
      <c r="D148" s="10" t="str">
        <f>IF($C148="","",IFERROR(INDEX(Recursos!$D$2:$D$201,MATCH($C148,Recursos!$A$2:$A$201,0)),""))</f>
        <v/>
      </c>
      <c r="E148" s="10" t="str">
        <f>IF($C148="","",IFERROR(INDEX(Recursos!$B$2:$B$201,MATCH($C148,Recursos!$A$2:$A$201,0)),""))</f>
        <v/>
      </c>
      <c r="F148" s="10" t="str">
        <f>IF($C148="","",IFERROR(INDEX(Recursos!$F$2:$F$201,MATCH($C148,Recursos!$A$2:$A$201,0)),""))</f>
        <v/>
      </c>
      <c r="G148" s="18" t="str">
        <f>IF($C148="","",IFERROR(INDEX(Recursos!$G$2:$G$201,MATCH($C148,Recursos!$A$2:$A$201,0)),""))</f>
        <v/>
      </c>
      <c r="H148" s="11" t="s">
        <v>35</v>
      </c>
    </row>
    <row r="149" spans="1:8" x14ac:dyDescent="0.25">
      <c r="A149" s="10" t="str">
        <f>IF(OR($B149="",$C149="",$H149=""),"",PREFIJO_OPE&amp;TEXT(SUMPRODUCT(($B$3:$B149&lt;&gt;"")*($C$3:$C149&lt;&gt;"")*($H$3:$H149&lt;&gt;"")),"000"))</f>
        <v/>
      </c>
      <c r="B149" s="14"/>
      <c r="C149" s="14"/>
      <c r="D149" s="10" t="str">
        <f>IF($C149="","",IFERROR(INDEX(Recursos!$D$2:$D$201,MATCH($C149,Recursos!$A$2:$A$201,0)),""))</f>
        <v/>
      </c>
      <c r="E149" s="10" t="str">
        <f>IF($C149="","",IFERROR(INDEX(Recursos!$B$2:$B$201,MATCH($C149,Recursos!$A$2:$A$201,0)),""))</f>
        <v/>
      </c>
      <c r="F149" s="10" t="str">
        <f>IF($C149="","",IFERROR(INDEX(Recursos!$F$2:$F$201,MATCH($C149,Recursos!$A$2:$A$201,0)),""))</f>
        <v/>
      </c>
      <c r="G149" s="18" t="str">
        <f>IF($C149="","",IFERROR(INDEX(Recursos!$G$2:$G$201,MATCH($C149,Recursos!$A$2:$A$201,0)),""))</f>
        <v/>
      </c>
      <c r="H149" s="11" t="s">
        <v>35</v>
      </c>
    </row>
    <row r="150" spans="1:8" x14ac:dyDescent="0.25">
      <c r="A150" s="10" t="str">
        <f>IF(OR($B150="",$C150="",$H150=""),"",PREFIJO_OPE&amp;TEXT(SUMPRODUCT(($B$3:$B150&lt;&gt;"")*($C$3:$C150&lt;&gt;"")*($H$3:$H150&lt;&gt;"")),"000"))</f>
        <v/>
      </c>
      <c r="B150" s="14"/>
      <c r="C150" s="14"/>
      <c r="D150" s="10" t="str">
        <f>IF($C150="","",IFERROR(INDEX(Recursos!$D$2:$D$201,MATCH($C150,Recursos!$A$2:$A$201,0)),""))</f>
        <v/>
      </c>
      <c r="E150" s="10" t="str">
        <f>IF($C150="","",IFERROR(INDEX(Recursos!$B$2:$B$201,MATCH($C150,Recursos!$A$2:$A$201,0)),""))</f>
        <v/>
      </c>
      <c r="F150" s="10" t="str">
        <f>IF($C150="","",IFERROR(INDEX(Recursos!$F$2:$F$201,MATCH($C150,Recursos!$A$2:$A$201,0)),""))</f>
        <v/>
      </c>
      <c r="G150" s="18" t="str">
        <f>IF($C150="","",IFERROR(INDEX(Recursos!$G$2:$G$201,MATCH($C150,Recursos!$A$2:$A$201,0)),""))</f>
        <v/>
      </c>
      <c r="H150" s="11" t="s">
        <v>35</v>
      </c>
    </row>
    <row r="151" spans="1:8" x14ac:dyDescent="0.25">
      <c r="A151" s="10" t="str">
        <f>IF(OR($B151="",$C151="",$H151=""),"",PREFIJO_OPE&amp;TEXT(SUMPRODUCT(($B$3:$B151&lt;&gt;"")*($C$3:$C151&lt;&gt;"")*($H$3:$H151&lt;&gt;"")),"000"))</f>
        <v/>
      </c>
      <c r="B151" s="14"/>
      <c r="C151" s="14"/>
      <c r="D151" s="10" t="str">
        <f>IF($C151="","",IFERROR(INDEX(Recursos!$D$2:$D$201,MATCH($C151,Recursos!$A$2:$A$201,0)),""))</f>
        <v/>
      </c>
      <c r="E151" s="10" t="str">
        <f>IF($C151="","",IFERROR(INDEX(Recursos!$B$2:$B$201,MATCH($C151,Recursos!$A$2:$A$201,0)),""))</f>
        <v/>
      </c>
      <c r="F151" s="10" t="str">
        <f>IF($C151="","",IFERROR(INDEX(Recursos!$F$2:$F$201,MATCH($C151,Recursos!$A$2:$A$201,0)),""))</f>
        <v/>
      </c>
      <c r="G151" s="18" t="str">
        <f>IF($C151="","",IFERROR(INDEX(Recursos!$G$2:$G$201,MATCH($C151,Recursos!$A$2:$A$201,0)),""))</f>
        <v/>
      </c>
      <c r="H151" s="11" t="s">
        <v>35</v>
      </c>
    </row>
    <row r="152" spans="1:8" x14ac:dyDescent="0.25">
      <c r="A152" s="10" t="str">
        <f>IF(OR($B152="",$C152="",$H152=""),"",PREFIJO_OPE&amp;TEXT(SUMPRODUCT(($B$3:$B152&lt;&gt;"")*($C$3:$C152&lt;&gt;"")*($H$3:$H152&lt;&gt;"")),"000"))</f>
        <v/>
      </c>
      <c r="B152" s="14"/>
      <c r="C152" s="14"/>
      <c r="D152" s="10" t="str">
        <f>IF($C152="","",IFERROR(INDEX(Recursos!$D$2:$D$201,MATCH($C152,Recursos!$A$2:$A$201,0)),""))</f>
        <v/>
      </c>
      <c r="E152" s="10" t="str">
        <f>IF($C152="","",IFERROR(INDEX(Recursos!$B$2:$B$201,MATCH($C152,Recursos!$A$2:$A$201,0)),""))</f>
        <v/>
      </c>
      <c r="F152" s="10" t="str">
        <f>IF($C152="","",IFERROR(INDEX(Recursos!$F$2:$F$201,MATCH($C152,Recursos!$A$2:$A$201,0)),""))</f>
        <v/>
      </c>
      <c r="G152" s="18" t="str">
        <f>IF($C152="","",IFERROR(INDEX(Recursos!$G$2:$G$201,MATCH($C152,Recursos!$A$2:$A$201,0)),""))</f>
        <v/>
      </c>
      <c r="H152" s="11" t="s">
        <v>35</v>
      </c>
    </row>
  </sheetData>
  <autoFilter ref="A2:H2" xr:uid="{00000000-0009-0000-0000-000002000000}"/>
  <dataValidations count="2">
    <dataValidation type="list" allowBlank="1" showErrorMessage="1" errorTitle="Valor no válido" error="Solo códigos ya generados en la hoja Recursos." sqref="C3:C152" xr:uid="{00000000-0002-0000-0200-000000000000}">
      <formula1>LST_RECURSOS</formula1>
    </dataValidation>
    <dataValidation type="list" allowBlank="1" showErrorMessage="1" errorTitle="Valor no válido" error="Elige Activo o Inactivo." sqref="H3:H152" xr:uid="{00000000-0002-0000-0200-000001000000}">
      <formula1>INDIRECT("TEST[ESTADO]")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F98"/>
  <sheetViews>
    <sheetView showGridLines="0" topLeftCell="A58" workbookViewId="0">
      <selection activeCell="E69" sqref="E69"/>
    </sheetView>
  </sheetViews>
  <sheetFormatPr baseColWidth="10" defaultColWidth="9.140625" defaultRowHeight="15" x14ac:dyDescent="0.25"/>
  <cols>
    <col min="1" max="1" width="2" customWidth="1"/>
    <col min="2" max="2" width="26" customWidth="1"/>
    <col min="3" max="3" width="38" customWidth="1"/>
    <col min="4" max="5" width="20" customWidth="1"/>
    <col min="6" max="6" width="26" customWidth="1"/>
  </cols>
  <sheetData>
    <row r="1" spans="2:6" ht="15.75" x14ac:dyDescent="0.25">
      <c r="B1" s="24" t="s">
        <v>47</v>
      </c>
      <c r="C1" s="22"/>
      <c r="D1" s="22"/>
      <c r="E1" s="22"/>
      <c r="F1" s="22"/>
    </row>
    <row r="3" spans="2:6" x14ac:dyDescent="0.25">
      <c r="B3" s="23" t="s">
        <v>48</v>
      </c>
      <c r="C3" s="22"/>
      <c r="D3" s="22"/>
      <c r="E3" s="22"/>
      <c r="F3" s="22"/>
    </row>
    <row r="4" spans="2:6" x14ac:dyDescent="0.25">
      <c r="B4" s="19" t="s">
        <v>49</v>
      </c>
      <c r="C4" s="19" t="s">
        <v>50</v>
      </c>
      <c r="D4" s="19" t="s">
        <v>51</v>
      </c>
      <c r="E4" s="19" t="s">
        <v>52</v>
      </c>
      <c r="F4" s="19" t="s">
        <v>53</v>
      </c>
    </row>
    <row r="5" spans="2:6" x14ac:dyDescent="0.25">
      <c r="B5" s="20" t="s">
        <v>54</v>
      </c>
      <c r="C5" s="20" t="s">
        <v>55</v>
      </c>
      <c r="D5" s="20" t="s">
        <v>56</v>
      </c>
      <c r="E5" s="20" t="s">
        <v>57</v>
      </c>
      <c r="F5" s="20" t="s">
        <v>36</v>
      </c>
    </row>
    <row r="7" spans="2:6" x14ac:dyDescent="0.25">
      <c r="B7" s="23" t="s">
        <v>58</v>
      </c>
      <c r="C7" s="22"/>
      <c r="D7" s="22"/>
    </row>
    <row r="8" spans="2:6" x14ac:dyDescent="0.25">
      <c r="B8" s="19" t="s">
        <v>59</v>
      </c>
      <c r="C8" s="19" t="s">
        <v>60</v>
      </c>
      <c r="D8" s="19" t="s">
        <v>61</v>
      </c>
    </row>
    <row r="9" spans="2:6" x14ac:dyDescent="0.25">
      <c r="B9" s="20" t="s">
        <v>62</v>
      </c>
      <c r="C9" s="20" t="s">
        <v>31</v>
      </c>
      <c r="D9" s="20" t="s">
        <v>63</v>
      </c>
    </row>
    <row r="10" spans="2:6" x14ac:dyDescent="0.25">
      <c r="B10" s="20" t="s">
        <v>64</v>
      </c>
      <c r="C10" s="20" t="s">
        <v>65</v>
      </c>
      <c r="D10" s="20"/>
    </row>
    <row r="11" spans="2:6" x14ac:dyDescent="0.25">
      <c r="B11" s="20" t="s">
        <v>66</v>
      </c>
      <c r="C11" s="20"/>
      <c r="D11" s="20" t="s">
        <v>67</v>
      </c>
    </row>
    <row r="12" spans="2:6" x14ac:dyDescent="0.25">
      <c r="B12" s="20"/>
      <c r="C12" s="20"/>
      <c r="D12" s="20"/>
    </row>
    <row r="13" spans="2:6" x14ac:dyDescent="0.25">
      <c r="B13" s="20"/>
      <c r="C13" s="20"/>
      <c r="D13" s="20"/>
    </row>
    <row r="14" spans="2:6" x14ac:dyDescent="0.25">
      <c r="B14" s="20"/>
      <c r="C14" s="20"/>
      <c r="D14" s="20"/>
    </row>
    <row r="15" spans="2:6" x14ac:dyDescent="0.25">
      <c r="B15" s="20"/>
      <c r="C15" s="20"/>
      <c r="D15" s="20"/>
    </row>
    <row r="16" spans="2:6" x14ac:dyDescent="0.25">
      <c r="B16" s="20"/>
      <c r="C16" s="20"/>
      <c r="D16" s="20"/>
    </row>
    <row r="17" spans="2:4" x14ac:dyDescent="0.25">
      <c r="B17" s="20"/>
      <c r="C17" s="20"/>
      <c r="D17" s="20"/>
    </row>
    <row r="18" spans="2:4" x14ac:dyDescent="0.25">
      <c r="B18" s="20"/>
      <c r="C18" s="20"/>
      <c r="D18" s="20"/>
    </row>
    <row r="19" spans="2:4" x14ac:dyDescent="0.25">
      <c r="B19" s="20"/>
      <c r="C19" s="20"/>
      <c r="D19" s="20"/>
    </row>
    <row r="20" spans="2:4" x14ac:dyDescent="0.25">
      <c r="B20" s="20"/>
      <c r="C20" s="20"/>
      <c r="D20" s="20"/>
    </row>
    <row r="22" spans="2:4" x14ac:dyDescent="0.25">
      <c r="B22" s="23" t="s">
        <v>68</v>
      </c>
    </row>
    <row r="23" spans="2:4" x14ac:dyDescent="0.25">
      <c r="B23" s="19" t="s">
        <v>69</v>
      </c>
    </row>
    <row r="24" spans="2:4" x14ac:dyDescent="0.25">
      <c r="B24" s="20" t="s">
        <v>34</v>
      </c>
    </row>
    <row r="25" spans="2:4" x14ac:dyDescent="0.25">
      <c r="B25" s="20" t="s">
        <v>70</v>
      </c>
    </row>
    <row r="26" spans="2:4" x14ac:dyDescent="0.25">
      <c r="B26" s="20" t="s">
        <v>37</v>
      </c>
    </row>
    <row r="27" spans="2:4" x14ac:dyDescent="0.25">
      <c r="B27" s="20" t="s">
        <v>71</v>
      </c>
    </row>
    <row r="28" spans="2:4" x14ac:dyDescent="0.25">
      <c r="B28" s="20" t="s">
        <v>72</v>
      </c>
    </row>
    <row r="29" spans="2:4" x14ac:dyDescent="0.25">
      <c r="B29" s="20" t="s">
        <v>73</v>
      </c>
    </row>
    <row r="30" spans="2:4" x14ac:dyDescent="0.25">
      <c r="B30" s="20" t="s">
        <v>74</v>
      </c>
    </row>
    <row r="31" spans="2:4" x14ac:dyDescent="0.25">
      <c r="B31" s="20" t="s">
        <v>75</v>
      </c>
    </row>
    <row r="32" spans="2:4" x14ac:dyDescent="0.25">
      <c r="B32" s="20" t="s">
        <v>76</v>
      </c>
    </row>
    <row r="33" spans="2:3" x14ac:dyDescent="0.25">
      <c r="B33" s="20" t="s">
        <v>77</v>
      </c>
    </row>
    <row r="34" spans="2:3" x14ac:dyDescent="0.25">
      <c r="B34" s="20" t="s">
        <v>78</v>
      </c>
    </row>
    <row r="35" spans="2:3" x14ac:dyDescent="0.25">
      <c r="B35" s="20" t="s">
        <v>79</v>
      </c>
    </row>
    <row r="36" spans="2:3" x14ac:dyDescent="0.25">
      <c r="B36" s="20"/>
    </row>
    <row r="37" spans="2:3" x14ac:dyDescent="0.25">
      <c r="B37" s="20"/>
    </row>
    <row r="38" spans="2:3" x14ac:dyDescent="0.25">
      <c r="B38" s="20"/>
    </row>
    <row r="39" spans="2:3" x14ac:dyDescent="0.25">
      <c r="B39" s="20"/>
    </row>
    <row r="40" spans="2:3" x14ac:dyDescent="0.25">
      <c r="B40" s="20"/>
    </row>
    <row r="42" spans="2:3" x14ac:dyDescent="0.25">
      <c r="B42" s="23" t="s">
        <v>80</v>
      </c>
    </row>
    <row r="43" spans="2:3" x14ac:dyDescent="0.25">
      <c r="B43" s="19" t="s">
        <v>81</v>
      </c>
    </row>
    <row r="44" spans="2:3" x14ac:dyDescent="0.25">
      <c r="B44" s="20" t="s">
        <v>35</v>
      </c>
    </row>
    <row r="45" spans="2:3" x14ac:dyDescent="0.25">
      <c r="B45" s="20" t="s">
        <v>82</v>
      </c>
    </row>
    <row r="48" spans="2:3" x14ac:dyDescent="0.25">
      <c r="B48" s="23" t="s">
        <v>83</v>
      </c>
      <c r="C48" s="22"/>
    </row>
    <row r="49" spans="2:3" x14ac:dyDescent="0.25">
      <c r="B49" s="19" t="s">
        <v>61</v>
      </c>
      <c r="C49" s="19" t="s">
        <v>84</v>
      </c>
    </row>
    <row r="50" spans="2:3" x14ac:dyDescent="0.25">
      <c r="B50" s="20" t="s">
        <v>63</v>
      </c>
      <c r="C50" s="20" t="s">
        <v>85</v>
      </c>
    </row>
    <row r="51" spans="2:3" x14ac:dyDescent="0.25">
      <c r="B51" s="20" t="s">
        <v>67</v>
      </c>
      <c r="C51" s="20" t="s">
        <v>86</v>
      </c>
    </row>
    <row r="52" spans="2:3" x14ac:dyDescent="0.25">
      <c r="B52" s="20" t="s">
        <v>87</v>
      </c>
      <c r="C52" s="20" t="s">
        <v>88</v>
      </c>
    </row>
    <row r="55" spans="2:3" x14ac:dyDescent="0.25">
      <c r="B55" s="23" t="s">
        <v>89</v>
      </c>
      <c r="C55" s="22"/>
    </row>
    <row r="56" spans="2:3" x14ac:dyDescent="0.25">
      <c r="B56" s="19" t="s">
        <v>90</v>
      </c>
      <c r="C56" s="19" t="s">
        <v>91</v>
      </c>
    </row>
    <row r="57" spans="2:3" x14ac:dyDescent="0.25">
      <c r="B57" s="20">
        <v>921101</v>
      </c>
      <c r="C57" s="20" t="s">
        <v>92</v>
      </c>
    </row>
    <row r="58" spans="2:3" x14ac:dyDescent="0.25">
      <c r="B58" s="20">
        <v>921201</v>
      </c>
      <c r="C58" s="20" t="s">
        <v>93</v>
      </c>
    </row>
    <row r="59" spans="2:3" x14ac:dyDescent="0.25">
      <c r="B59" s="20">
        <v>921301</v>
      </c>
      <c r="C59" s="20" t="s">
        <v>94</v>
      </c>
    </row>
    <row r="60" spans="2:3" x14ac:dyDescent="0.25">
      <c r="B60" s="20">
        <v>921401</v>
      </c>
      <c r="C60" s="20" t="s">
        <v>95</v>
      </c>
    </row>
    <row r="61" spans="2:3" x14ac:dyDescent="0.25">
      <c r="B61" s="20"/>
      <c r="C61" s="20"/>
    </row>
    <row r="62" spans="2:3" x14ac:dyDescent="0.25">
      <c r="B62" s="20"/>
      <c r="C62" s="20"/>
    </row>
    <row r="63" spans="2:3" x14ac:dyDescent="0.25">
      <c r="B63" s="20"/>
      <c r="C63" s="20"/>
    </row>
    <row r="64" spans="2:3" x14ac:dyDescent="0.25">
      <c r="B64" s="20"/>
      <c r="C64" s="20"/>
    </row>
    <row r="67" spans="2:3" x14ac:dyDescent="0.25">
      <c r="B67" s="23" t="s">
        <v>96</v>
      </c>
      <c r="C67" s="22"/>
    </row>
    <row r="68" spans="2:3" x14ac:dyDescent="0.25">
      <c r="B68" s="19" t="s">
        <v>59</v>
      </c>
      <c r="C68" s="19" t="s">
        <v>60</v>
      </c>
    </row>
    <row r="69" spans="2:3" x14ac:dyDescent="0.25">
      <c r="B69" s="20" t="s">
        <v>38</v>
      </c>
      <c r="C69" s="20" t="s">
        <v>97</v>
      </c>
    </row>
    <row r="70" spans="2:3" x14ac:dyDescent="0.25">
      <c r="B70" s="20" t="s">
        <v>98</v>
      </c>
      <c r="C70" s="20" t="s">
        <v>99</v>
      </c>
    </row>
    <row r="71" spans="2:3" x14ac:dyDescent="0.25">
      <c r="B71" s="20" t="s">
        <v>100</v>
      </c>
      <c r="C71" s="20" t="s">
        <v>101</v>
      </c>
    </row>
    <row r="72" spans="2:3" x14ac:dyDescent="0.25">
      <c r="B72" s="20" t="s">
        <v>102</v>
      </c>
      <c r="C72" s="20" t="s">
        <v>103</v>
      </c>
    </row>
    <row r="73" spans="2:3" x14ac:dyDescent="0.25">
      <c r="B73" s="20" t="s">
        <v>104</v>
      </c>
      <c r="C73" s="20" t="s">
        <v>105</v>
      </c>
    </row>
    <row r="74" spans="2:3" x14ac:dyDescent="0.25">
      <c r="B74" s="20" t="s">
        <v>106</v>
      </c>
      <c r="C74" s="20" t="s">
        <v>107</v>
      </c>
    </row>
    <row r="75" spans="2:3" x14ac:dyDescent="0.25">
      <c r="B75" s="20" t="s">
        <v>108</v>
      </c>
      <c r="C75" s="20" t="s">
        <v>109</v>
      </c>
    </row>
    <row r="76" spans="2:3" x14ac:dyDescent="0.25">
      <c r="B76" s="20" t="s">
        <v>110</v>
      </c>
      <c r="C76" s="20" t="s">
        <v>111</v>
      </c>
    </row>
    <row r="77" spans="2:3" x14ac:dyDescent="0.25">
      <c r="B77" s="20" t="s">
        <v>112</v>
      </c>
      <c r="C77" s="20" t="s">
        <v>113</v>
      </c>
    </row>
    <row r="78" spans="2:3" x14ac:dyDescent="0.25">
      <c r="B78" s="20" t="s">
        <v>114</v>
      </c>
      <c r="C78" s="20" t="s">
        <v>115</v>
      </c>
    </row>
    <row r="79" spans="2:3" x14ac:dyDescent="0.25">
      <c r="B79" s="20" t="s">
        <v>116</v>
      </c>
      <c r="C79" s="20" t="s">
        <v>117</v>
      </c>
    </row>
    <row r="80" spans="2:3" x14ac:dyDescent="0.25">
      <c r="B80" s="20" t="s">
        <v>118</v>
      </c>
      <c r="C80" s="20" t="s">
        <v>119</v>
      </c>
    </row>
    <row r="81" spans="2:3" x14ac:dyDescent="0.25">
      <c r="B81" s="20" t="s">
        <v>120</v>
      </c>
      <c r="C81" s="20" t="s">
        <v>121</v>
      </c>
    </row>
    <row r="82" spans="2:3" x14ac:dyDescent="0.25">
      <c r="B82" s="20" t="s">
        <v>122</v>
      </c>
      <c r="C82" s="20" t="s">
        <v>123</v>
      </c>
    </row>
    <row r="83" spans="2:3" x14ac:dyDescent="0.25">
      <c r="B83" s="20" t="s">
        <v>124</v>
      </c>
      <c r="C83" s="20" t="s">
        <v>125</v>
      </c>
    </row>
    <row r="84" spans="2:3" x14ac:dyDescent="0.25">
      <c r="B84" s="20" t="s">
        <v>126</v>
      </c>
      <c r="C84" s="20" t="s">
        <v>127</v>
      </c>
    </row>
    <row r="85" spans="2:3" x14ac:dyDescent="0.25">
      <c r="B85" s="20" t="s">
        <v>128</v>
      </c>
      <c r="C85" s="20" t="s">
        <v>129</v>
      </c>
    </row>
    <row r="86" spans="2:3" x14ac:dyDescent="0.25">
      <c r="B86" s="20"/>
      <c r="C86" s="20"/>
    </row>
    <row r="87" spans="2:3" x14ac:dyDescent="0.25">
      <c r="B87" s="20"/>
      <c r="C87" s="20"/>
    </row>
    <row r="88" spans="2:3" x14ac:dyDescent="0.25">
      <c r="B88" s="20"/>
      <c r="C88" s="20"/>
    </row>
    <row r="89" spans="2:3" x14ac:dyDescent="0.25">
      <c r="B89" s="20"/>
      <c r="C89" s="20"/>
    </row>
    <row r="90" spans="2:3" x14ac:dyDescent="0.25">
      <c r="B90" s="20"/>
      <c r="C90" s="20"/>
    </row>
    <row r="91" spans="2:3" x14ac:dyDescent="0.25">
      <c r="B91" s="20"/>
      <c r="C91" s="20"/>
    </row>
    <row r="92" spans="2:3" x14ac:dyDescent="0.25">
      <c r="B92" s="20"/>
      <c r="C92" s="20"/>
    </row>
    <row r="93" spans="2:3" x14ac:dyDescent="0.25">
      <c r="B93" s="20"/>
      <c r="C93" s="20"/>
    </row>
    <row r="94" spans="2:3" x14ac:dyDescent="0.25">
      <c r="B94" s="20"/>
      <c r="C94" s="20"/>
    </row>
    <row r="95" spans="2:3" x14ac:dyDescent="0.25">
      <c r="B95" s="20"/>
      <c r="C95" s="20"/>
    </row>
    <row r="96" spans="2:3" x14ac:dyDescent="0.25">
      <c r="B96" s="20"/>
      <c r="C96" s="20"/>
    </row>
    <row r="97" spans="2:3" x14ac:dyDescent="0.25">
      <c r="B97" s="20"/>
      <c r="C97" s="20"/>
    </row>
    <row r="98" spans="2:3" x14ac:dyDescent="0.25">
      <c r="B98" s="20"/>
      <c r="C98" s="20"/>
    </row>
  </sheetData>
  <mergeCells count="8">
    <mergeCell ref="B1:F1"/>
    <mergeCell ref="B7:D7"/>
    <mergeCell ref="B55:C55"/>
    <mergeCell ref="B48:C48"/>
    <mergeCell ref="B67:C67"/>
    <mergeCell ref="B3:F3"/>
    <mergeCell ref="B22"/>
    <mergeCell ref="B42"/>
  </mergeCells>
  <pageMargins left="0.75" right="0.75" top="1" bottom="1" header="0.5" footer="0.5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00 Guía</vt:lpstr>
      <vt:lpstr>Recursos</vt:lpstr>
      <vt:lpstr>Operarios</vt:lpstr>
      <vt:lpstr>Configuraciones</vt:lpstr>
      <vt:lpstr>PREFIJO_OPE</vt:lpstr>
      <vt:lpstr>PREFIJO_REC</vt:lpstr>
      <vt:lpstr>TIPO_SERVICIO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Axel OC</cp:lastModifiedBy>
  <dcterms:created xsi:type="dcterms:W3CDTF">2026-09-18T00:02:12Z</dcterms:created>
  <dcterms:modified xsi:type="dcterms:W3CDTF">2026-09-18T00:06:11Z</dcterms:modified>
</cp:coreProperties>
</file>