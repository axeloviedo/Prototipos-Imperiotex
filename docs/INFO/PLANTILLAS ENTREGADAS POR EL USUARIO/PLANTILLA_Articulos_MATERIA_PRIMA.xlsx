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QALLPA TICS\IMPERIOTEX\PLANTILLAS\INFORMACION RECOPILADA\"/>
    </mc:Choice>
  </mc:AlternateContent>
  <xr:revisionPtr revIDLastSave="0" documentId="13_ncr:1_{0324449B-DE2F-417F-8BED-331BBC5E1F51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00 Guía" sheetId="1" r:id="rId1"/>
    <sheet name="Artículos" sheetId="2" r:id="rId2"/>
    <sheet name="Atributos" sheetId="4" r:id="rId3"/>
    <sheet name="Stock Mínimo" sheetId="5" r:id="rId4"/>
    <sheet name="Códigos de Barras" sheetId="6" r:id="rId5"/>
    <sheet name="Configuraciones" sheetId="3" r:id="rId6"/>
  </sheets>
  <definedNames>
    <definedName name="_xlnm._FilterDatabase" localSheetId="1" hidden="1">Artículos!$A$1:$R$1</definedName>
    <definedName name="ALM_COD">Configuraciones!$B$197:$B$237</definedName>
    <definedName name="ALM_NOM">Configuraciones!$C$197:$C$237</definedName>
    <definedName name="ALM_SEDE">Configuraciones!$D$197:$D$237</definedName>
    <definedName name="CAT_CV">OFFSET(Configuraciones!$D$10,0,0,MAX(COUNTA(Configuraciones!$D$10:$D$56),1),1)</definedName>
    <definedName name="CAT_NOMBRE">OFFSET(Configuraciones!$C$10,0,0,MAX(COUNTA(Configuraciones!$C$10:$C$56),1),1)</definedName>
    <definedName name="GRUPO_NOMBRE">Configuraciones!$C$6</definedName>
    <definedName name="LST_CODIGOS">OFFSET(Artículos!$A$2,0,0,MAX(COUNTIF(Artículos!$A$2:$A$213,"?*"),1),1)</definedName>
    <definedName name="PREFIJO">Configuraciones!$D$6</definedName>
    <definedName name="VACIO">Configuraciones!$A$2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6" i="2" l="1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13" i="2"/>
  <c r="A14" i="2"/>
  <c r="A15" i="2"/>
  <c r="A12" i="2"/>
  <c r="A9" i="2"/>
  <c r="A10" i="2"/>
  <c r="A11" i="2"/>
  <c r="I3" i="2"/>
  <c r="A3" i="2"/>
  <c r="B3" i="2" s="1"/>
  <c r="W21" i="2"/>
  <c r="W20" i="2"/>
  <c r="B122" i="6" l="1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G122" i="5"/>
  <c r="E122" i="5"/>
  <c r="D122" i="5"/>
  <c r="B122" i="5"/>
  <c r="G121" i="5"/>
  <c r="E121" i="5"/>
  <c r="D121" i="5"/>
  <c r="B121" i="5"/>
  <c r="G120" i="5"/>
  <c r="E120" i="5"/>
  <c r="D120" i="5"/>
  <c r="B120" i="5"/>
  <c r="G119" i="5"/>
  <c r="E119" i="5"/>
  <c r="D119" i="5"/>
  <c r="B119" i="5"/>
  <c r="G118" i="5"/>
  <c r="E118" i="5"/>
  <c r="D118" i="5"/>
  <c r="B118" i="5"/>
  <c r="G117" i="5"/>
  <c r="E117" i="5"/>
  <c r="D117" i="5"/>
  <c r="B117" i="5"/>
  <c r="G116" i="5"/>
  <c r="E116" i="5"/>
  <c r="D116" i="5"/>
  <c r="B116" i="5"/>
  <c r="G115" i="5"/>
  <c r="E115" i="5"/>
  <c r="D115" i="5"/>
  <c r="B115" i="5"/>
  <c r="G114" i="5"/>
  <c r="E114" i="5"/>
  <c r="D114" i="5"/>
  <c r="B114" i="5"/>
  <c r="G113" i="5"/>
  <c r="E113" i="5"/>
  <c r="D113" i="5"/>
  <c r="B113" i="5"/>
  <c r="G112" i="5"/>
  <c r="E112" i="5"/>
  <c r="D112" i="5"/>
  <c r="B112" i="5"/>
  <c r="G111" i="5"/>
  <c r="E111" i="5"/>
  <c r="D111" i="5"/>
  <c r="B111" i="5"/>
  <c r="G110" i="5"/>
  <c r="E110" i="5"/>
  <c r="D110" i="5"/>
  <c r="B110" i="5"/>
  <c r="G109" i="5"/>
  <c r="E109" i="5"/>
  <c r="D109" i="5"/>
  <c r="B109" i="5"/>
  <c r="G108" i="5"/>
  <c r="E108" i="5"/>
  <c r="D108" i="5"/>
  <c r="B108" i="5"/>
  <c r="G107" i="5"/>
  <c r="E107" i="5"/>
  <c r="D107" i="5"/>
  <c r="B107" i="5"/>
  <c r="G106" i="5"/>
  <c r="E106" i="5"/>
  <c r="D106" i="5"/>
  <c r="B106" i="5"/>
  <c r="G105" i="5"/>
  <c r="E105" i="5"/>
  <c r="D105" i="5"/>
  <c r="B105" i="5"/>
  <c r="G104" i="5"/>
  <c r="E104" i="5"/>
  <c r="D104" i="5"/>
  <c r="B104" i="5"/>
  <c r="G103" i="5"/>
  <c r="E103" i="5"/>
  <c r="D103" i="5"/>
  <c r="B103" i="5"/>
  <c r="G102" i="5"/>
  <c r="E102" i="5"/>
  <c r="D102" i="5"/>
  <c r="B102" i="5"/>
  <c r="G101" i="5"/>
  <c r="E101" i="5"/>
  <c r="D101" i="5"/>
  <c r="B101" i="5"/>
  <c r="G100" i="5"/>
  <c r="E100" i="5"/>
  <c r="D100" i="5"/>
  <c r="B100" i="5"/>
  <c r="G99" i="5"/>
  <c r="E99" i="5"/>
  <c r="D99" i="5"/>
  <c r="B99" i="5"/>
  <c r="G98" i="5"/>
  <c r="E98" i="5"/>
  <c r="D98" i="5"/>
  <c r="B98" i="5"/>
  <c r="G97" i="5"/>
  <c r="E97" i="5"/>
  <c r="D97" i="5"/>
  <c r="B97" i="5"/>
  <c r="G96" i="5"/>
  <c r="E96" i="5"/>
  <c r="D96" i="5"/>
  <c r="B96" i="5"/>
  <c r="G95" i="5"/>
  <c r="E95" i="5"/>
  <c r="D95" i="5"/>
  <c r="B95" i="5"/>
  <c r="G94" i="5"/>
  <c r="E94" i="5"/>
  <c r="D94" i="5"/>
  <c r="B94" i="5"/>
  <c r="G93" i="5"/>
  <c r="E93" i="5"/>
  <c r="D93" i="5"/>
  <c r="B93" i="5"/>
  <c r="G92" i="5"/>
  <c r="E92" i="5"/>
  <c r="D92" i="5"/>
  <c r="B92" i="5"/>
  <c r="G91" i="5"/>
  <c r="E91" i="5"/>
  <c r="D91" i="5"/>
  <c r="B91" i="5"/>
  <c r="G90" i="5"/>
  <c r="E90" i="5"/>
  <c r="D90" i="5"/>
  <c r="B90" i="5"/>
  <c r="G89" i="5"/>
  <c r="E89" i="5"/>
  <c r="D89" i="5"/>
  <c r="B89" i="5"/>
  <c r="G88" i="5"/>
  <c r="E88" i="5"/>
  <c r="D88" i="5"/>
  <c r="B88" i="5"/>
  <c r="G87" i="5"/>
  <c r="E87" i="5"/>
  <c r="D87" i="5"/>
  <c r="B87" i="5"/>
  <c r="G86" i="5"/>
  <c r="E86" i="5"/>
  <c r="D86" i="5"/>
  <c r="B86" i="5"/>
  <c r="G85" i="5"/>
  <c r="E85" i="5"/>
  <c r="D85" i="5"/>
  <c r="B85" i="5"/>
  <c r="G84" i="5"/>
  <c r="E84" i="5"/>
  <c r="D84" i="5"/>
  <c r="B84" i="5"/>
  <c r="G83" i="5"/>
  <c r="E83" i="5"/>
  <c r="D83" i="5"/>
  <c r="B83" i="5"/>
  <c r="G82" i="5"/>
  <c r="E82" i="5"/>
  <c r="D82" i="5"/>
  <c r="B82" i="5"/>
  <c r="G81" i="5"/>
  <c r="E81" i="5"/>
  <c r="D81" i="5"/>
  <c r="B81" i="5"/>
  <c r="G80" i="5"/>
  <c r="E80" i="5"/>
  <c r="D80" i="5"/>
  <c r="B80" i="5"/>
  <c r="G79" i="5"/>
  <c r="E79" i="5"/>
  <c r="D79" i="5"/>
  <c r="B79" i="5"/>
  <c r="G78" i="5"/>
  <c r="E78" i="5"/>
  <c r="D78" i="5"/>
  <c r="B78" i="5"/>
  <c r="G77" i="5"/>
  <c r="E77" i="5"/>
  <c r="D77" i="5"/>
  <c r="B77" i="5"/>
  <c r="G76" i="5"/>
  <c r="E76" i="5"/>
  <c r="D76" i="5"/>
  <c r="B76" i="5"/>
  <c r="G75" i="5"/>
  <c r="E75" i="5"/>
  <c r="D75" i="5"/>
  <c r="B75" i="5"/>
  <c r="G74" i="5"/>
  <c r="E74" i="5"/>
  <c r="D74" i="5"/>
  <c r="B74" i="5"/>
  <c r="G73" i="5"/>
  <c r="E73" i="5"/>
  <c r="D73" i="5"/>
  <c r="B73" i="5"/>
  <c r="G72" i="5"/>
  <c r="E72" i="5"/>
  <c r="D72" i="5"/>
  <c r="B72" i="5"/>
  <c r="G71" i="5"/>
  <c r="E71" i="5"/>
  <c r="D71" i="5"/>
  <c r="B71" i="5"/>
  <c r="G70" i="5"/>
  <c r="E70" i="5"/>
  <c r="D70" i="5"/>
  <c r="B70" i="5"/>
  <c r="G69" i="5"/>
  <c r="E69" i="5"/>
  <c r="D69" i="5"/>
  <c r="B69" i="5"/>
  <c r="G68" i="5"/>
  <c r="E68" i="5"/>
  <c r="D68" i="5"/>
  <c r="B68" i="5"/>
  <c r="G67" i="5"/>
  <c r="E67" i="5"/>
  <c r="D67" i="5"/>
  <c r="B67" i="5"/>
  <c r="G66" i="5"/>
  <c r="E66" i="5"/>
  <c r="D66" i="5"/>
  <c r="B66" i="5"/>
  <c r="G65" i="5"/>
  <c r="E65" i="5"/>
  <c r="D65" i="5"/>
  <c r="B65" i="5"/>
  <c r="G64" i="5"/>
  <c r="E64" i="5"/>
  <c r="D64" i="5"/>
  <c r="B64" i="5"/>
  <c r="G63" i="5"/>
  <c r="E63" i="5"/>
  <c r="D63" i="5"/>
  <c r="B63" i="5"/>
  <c r="G62" i="5"/>
  <c r="E62" i="5"/>
  <c r="D62" i="5"/>
  <c r="B62" i="5"/>
  <c r="G61" i="5"/>
  <c r="E61" i="5"/>
  <c r="D61" i="5"/>
  <c r="B61" i="5"/>
  <c r="G60" i="5"/>
  <c r="E60" i="5"/>
  <c r="D60" i="5"/>
  <c r="B60" i="5"/>
  <c r="G59" i="5"/>
  <c r="E59" i="5"/>
  <c r="D59" i="5"/>
  <c r="B59" i="5"/>
  <c r="G58" i="5"/>
  <c r="E58" i="5"/>
  <c r="D58" i="5"/>
  <c r="B58" i="5"/>
  <c r="G57" i="5"/>
  <c r="E57" i="5"/>
  <c r="D57" i="5"/>
  <c r="B57" i="5"/>
  <c r="G56" i="5"/>
  <c r="E56" i="5"/>
  <c r="D56" i="5"/>
  <c r="B56" i="5"/>
  <c r="G55" i="5"/>
  <c r="E55" i="5"/>
  <c r="D55" i="5"/>
  <c r="B55" i="5"/>
  <c r="G54" i="5"/>
  <c r="E54" i="5"/>
  <c r="D54" i="5"/>
  <c r="B54" i="5"/>
  <c r="G53" i="5"/>
  <c r="E53" i="5"/>
  <c r="D53" i="5"/>
  <c r="B53" i="5"/>
  <c r="G52" i="5"/>
  <c r="E52" i="5"/>
  <c r="D52" i="5"/>
  <c r="B52" i="5"/>
  <c r="G51" i="5"/>
  <c r="E51" i="5"/>
  <c r="D51" i="5"/>
  <c r="B51" i="5"/>
  <c r="G50" i="5"/>
  <c r="E50" i="5"/>
  <c r="D50" i="5"/>
  <c r="B50" i="5"/>
  <c r="G49" i="5"/>
  <c r="E49" i="5"/>
  <c r="D49" i="5"/>
  <c r="B49" i="5"/>
  <c r="G48" i="5"/>
  <c r="E48" i="5"/>
  <c r="D48" i="5"/>
  <c r="B48" i="5"/>
  <c r="G47" i="5"/>
  <c r="E47" i="5"/>
  <c r="D47" i="5"/>
  <c r="B47" i="5"/>
  <c r="G46" i="5"/>
  <c r="E46" i="5"/>
  <c r="D46" i="5"/>
  <c r="B46" i="5"/>
  <c r="G45" i="5"/>
  <c r="E45" i="5"/>
  <c r="D45" i="5"/>
  <c r="B45" i="5"/>
  <c r="G44" i="5"/>
  <c r="E44" i="5"/>
  <c r="D44" i="5"/>
  <c r="B44" i="5"/>
  <c r="G43" i="5"/>
  <c r="E43" i="5"/>
  <c r="D43" i="5"/>
  <c r="B43" i="5"/>
  <c r="G42" i="5"/>
  <c r="E42" i="5"/>
  <c r="D42" i="5"/>
  <c r="B42" i="5"/>
  <c r="G41" i="5"/>
  <c r="E41" i="5"/>
  <c r="D41" i="5"/>
  <c r="B41" i="5"/>
  <c r="G40" i="5"/>
  <c r="E40" i="5"/>
  <c r="D40" i="5"/>
  <c r="B40" i="5"/>
  <c r="G39" i="5"/>
  <c r="E39" i="5"/>
  <c r="D39" i="5"/>
  <c r="B39" i="5"/>
  <c r="G38" i="5"/>
  <c r="E38" i="5"/>
  <c r="D38" i="5"/>
  <c r="B38" i="5"/>
  <c r="G37" i="5"/>
  <c r="E37" i="5"/>
  <c r="D37" i="5"/>
  <c r="B37" i="5"/>
  <c r="G36" i="5"/>
  <c r="E36" i="5"/>
  <c r="D36" i="5"/>
  <c r="B36" i="5"/>
  <c r="G35" i="5"/>
  <c r="E35" i="5"/>
  <c r="D35" i="5"/>
  <c r="B35" i="5"/>
  <c r="G34" i="5"/>
  <c r="E34" i="5"/>
  <c r="D34" i="5"/>
  <c r="B34" i="5"/>
  <c r="G33" i="5"/>
  <c r="E33" i="5"/>
  <c r="D33" i="5"/>
  <c r="B33" i="5"/>
  <c r="G32" i="5"/>
  <c r="E32" i="5"/>
  <c r="D32" i="5"/>
  <c r="B32" i="5"/>
  <c r="G31" i="5"/>
  <c r="E31" i="5"/>
  <c r="D31" i="5"/>
  <c r="B31" i="5"/>
  <c r="G30" i="5"/>
  <c r="E30" i="5"/>
  <c r="D30" i="5"/>
  <c r="B30" i="5"/>
  <c r="G29" i="5"/>
  <c r="E29" i="5"/>
  <c r="D29" i="5"/>
  <c r="B29" i="5"/>
  <c r="G28" i="5"/>
  <c r="E28" i="5"/>
  <c r="D28" i="5"/>
  <c r="B28" i="5"/>
  <c r="G27" i="5"/>
  <c r="E27" i="5"/>
  <c r="D27" i="5"/>
  <c r="B27" i="5"/>
  <c r="G26" i="5"/>
  <c r="E26" i="5"/>
  <c r="D26" i="5"/>
  <c r="B26" i="5"/>
  <c r="G25" i="5"/>
  <c r="E25" i="5"/>
  <c r="D25" i="5"/>
  <c r="B25" i="5"/>
  <c r="G24" i="5"/>
  <c r="E24" i="5"/>
  <c r="D24" i="5"/>
  <c r="B24" i="5"/>
  <c r="G23" i="5"/>
  <c r="E23" i="5"/>
  <c r="D23" i="5"/>
  <c r="B23" i="5"/>
  <c r="G22" i="5"/>
  <c r="E22" i="5"/>
  <c r="D22" i="5"/>
  <c r="B22" i="5"/>
  <c r="G21" i="5"/>
  <c r="E21" i="5"/>
  <c r="D21" i="5"/>
  <c r="B21" i="5"/>
  <c r="G20" i="5"/>
  <c r="E20" i="5"/>
  <c r="D20" i="5"/>
  <c r="B20" i="5"/>
  <c r="G19" i="5"/>
  <c r="E19" i="5"/>
  <c r="D19" i="5"/>
  <c r="B19" i="5"/>
  <c r="G18" i="5"/>
  <c r="E18" i="5"/>
  <c r="D18" i="5"/>
  <c r="B18" i="5"/>
  <c r="G17" i="5"/>
  <c r="E17" i="5"/>
  <c r="D17" i="5"/>
  <c r="B17" i="5"/>
  <c r="G16" i="5"/>
  <c r="E16" i="5"/>
  <c r="D16" i="5"/>
  <c r="B16" i="5"/>
  <c r="G15" i="5"/>
  <c r="E15" i="5"/>
  <c r="D15" i="5"/>
  <c r="B15" i="5"/>
  <c r="G14" i="5"/>
  <c r="E14" i="5"/>
  <c r="D14" i="5"/>
  <c r="B14" i="5"/>
  <c r="G13" i="5"/>
  <c r="E13" i="5"/>
  <c r="D13" i="5"/>
  <c r="B13" i="5"/>
  <c r="G12" i="5"/>
  <c r="E12" i="5"/>
  <c r="D12" i="5"/>
  <c r="B12" i="5"/>
  <c r="G11" i="5"/>
  <c r="E11" i="5"/>
  <c r="D11" i="5"/>
  <c r="B11" i="5"/>
  <c r="G10" i="5"/>
  <c r="E10" i="5"/>
  <c r="D10" i="5"/>
  <c r="B10" i="5"/>
  <c r="G9" i="5"/>
  <c r="E9" i="5"/>
  <c r="D9" i="5"/>
  <c r="B9" i="5"/>
  <c r="G8" i="5"/>
  <c r="E8" i="5"/>
  <c r="D8" i="5"/>
  <c r="B8" i="5"/>
  <c r="G7" i="5"/>
  <c r="E7" i="5"/>
  <c r="D7" i="5"/>
  <c r="B7" i="5"/>
  <c r="G6" i="5"/>
  <c r="E6" i="5"/>
  <c r="D6" i="5"/>
  <c r="B6" i="5"/>
  <c r="G5" i="5"/>
  <c r="E5" i="5"/>
  <c r="D5" i="5"/>
  <c r="B5" i="5"/>
  <c r="G4" i="5"/>
  <c r="E4" i="5"/>
  <c r="D4" i="5"/>
  <c r="B4" i="5"/>
  <c r="G3" i="5"/>
  <c r="E3" i="5"/>
  <c r="D3" i="5"/>
  <c r="B3" i="5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213" i="2"/>
  <c r="A213" i="2"/>
  <c r="B213" i="2" s="1"/>
  <c r="I212" i="2"/>
  <c r="A212" i="2"/>
  <c r="B212" i="2" s="1"/>
  <c r="I211" i="2"/>
  <c r="A211" i="2"/>
  <c r="B211" i="2" s="1"/>
  <c r="I210" i="2"/>
  <c r="A210" i="2"/>
  <c r="B210" i="2" s="1"/>
  <c r="I209" i="2"/>
  <c r="A209" i="2"/>
  <c r="B209" i="2" s="1"/>
  <c r="I208" i="2"/>
  <c r="A208" i="2"/>
  <c r="B208" i="2" s="1"/>
  <c r="I207" i="2"/>
  <c r="A207" i="2"/>
  <c r="B207" i="2" s="1"/>
  <c r="I206" i="2"/>
  <c r="A206" i="2"/>
  <c r="B206" i="2" s="1"/>
  <c r="I205" i="2"/>
  <c r="A205" i="2"/>
  <c r="B205" i="2" s="1"/>
  <c r="I204" i="2"/>
  <c r="A204" i="2"/>
  <c r="B204" i="2" s="1"/>
  <c r="I203" i="2"/>
  <c r="A203" i="2"/>
  <c r="B203" i="2" s="1"/>
  <c r="I202" i="2"/>
  <c r="A202" i="2"/>
  <c r="B202" i="2" s="1"/>
  <c r="I201" i="2"/>
  <c r="A201" i="2"/>
  <c r="B201" i="2" s="1"/>
  <c r="I200" i="2"/>
  <c r="A200" i="2"/>
  <c r="B200" i="2" s="1"/>
  <c r="I199" i="2"/>
  <c r="A199" i="2"/>
  <c r="B199" i="2" s="1"/>
  <c r="I198" i="2"/>
  <c r="A198" i="2"/>
  <c r="B198" i="2" s="1"/>
  <c r="I197" i="2"/>
  <c r="A197" i="2"/>
  <c r="B197" i="2" s="1"/>
  <c r="I196" i="2"/>
  <c r="A196" i="2"/>
  <c r="B196" i="2" s="1"/>
  <c r="I195" i="2"/>
  <c r="A195" i="2"/>
  <c r="B195" i="2" s="1"/>
  <c r="I194" i="2"/>
  <c r="A194" i="2"/>
  <c r="B194" i="2" s="1"/>
  <c r="I193" i="2"/>
  <c r="A193" i="2"/>
  <c r="B193" i="2" s="1"/>
  <c r="I192" i="2"/>
  <c r="A192" i="2"/>
  <c r="B192" i="2" s="1"/>
  <c r="I191" i="2"/>
  <c r="A191" i="2"/>
  <c r="B191" i="2" s="1"/>
  <c r="I190" i="2"/>
  <c r="B190" i="2"/>
  <c r="A190" i="2"/>
  <c r="I189" i="2"/>
  <c r="A189" i="2"/>
  <c r="B189" i="2" s="1"/>
  <c r="I188" i="2"/>
  <c r="A188" i="2"/>
  <c r="B188" i="2" s="1"/>
  <c r="I187" i="2"/>
  <c r="A187" i="2"/>
  <c r="B187" i="2" s="1"/>
  <c r="I186" i="2"/>
  <c r="A186" i="2"/>
  <c r="B186" i="2" s="1"/>
  <c r="I185" i="2"/>
  <c r="A185" i="2"/>
  <c r="B185" i="2" s="1"/>
  <c r="I184" i="2"/>
  <c r="A184" i="2"/>
  <c r="B184" i="2" s="1"/>
  <c r="I183" i="2"/>
  <c r="A183" i="2"/>
  <c r="B183" i="2" s="1"/>
  <c r="I182" i="2"/>
  <c r="A182" i="2"/>
  <c r="B182" i="2" s="1"/>
  <c r="I181" i="2"/>
  <c r="A181" i="2"/>
  <c r="B181" i="2" s="1"/>
  <c r="I180" i="2"/>
  <c r="A180" i="2"/>
  <c r="B180" i="2" s="1"/>
  <c r="I179" i="2"/>
  <c r="A179" i="2"/>
  <c r="B179" i="2" s="1"/>
  <c r="I178" i="2"/>
  <c r="A178" i="2"/>
  <c r="B178" i="2" s="1"/>
  <c r="I177" i="2"/>
  <c r="A177" i="2"/>
  <c r="B177" i="2" s="1"/>
  <c r="I176" i="2"/>
  <c r="A176" i="2"/>
  <c r="B176" i="2" s="1"/>
  <c r="I175" i="2"/>
  <c r="A175" i="2"/>
  <c r="B175" i="2" s="1"/>
  <c r="I174" i="2"/>
  <c r="A174" i="2"/>
  <c r="B174" i="2" s="1"/>
  <c r="I173" i="2"/>
  <c r="A173" i="2"/>
  <c r="B173" i="2" s="1"/>
  <c r="I172" i="2"/>
  <c r="A172" i="2"/>
  <c r="B172" i="2" s="1"/>
  <c r="I171" i="2"/>
  <c r="A171" i="2"/>
  <c r="B171" i="2" s="1"/>
  <c r="I170" i="2"/>
  <c r="A170" i="2"/>
  <c r="B170" i="2" s="1"/>
  <c r="I169" i="2"/>
  <c r="A169" i="2"/>
  <c r="B169" i="2" s="1"/>
  <c r="I168" i="2"/>
  <c r="A168" i="2"/>
  <c r="B168" i="2" s="1"/>
  <c r="I167" i="2"/>
  <c r="A167" i="2"/>
  <c r="B167" i="2" s="1"/>
  <c r="I166" i="2"/>
  <c r="A166" i="2"/>
  <c r="B166" i="2" s="1"/>
  <c r="I165" i="2"/>
  <c r="A165" i="2"/>
  <c r="B165" i="2" s="1"/>
  <c r="I164" i="2"/>
  <c r="A164" i="2"/>
  <c r="B164" i="2" s="1"/>
  <c r="I163" i="2"/>
  <c r="A163" i="2"/>
  <c r="B163" i="2" s="1"/>
  <c r="I162" i="2"/>
  <c r="A162" i="2"/>
  <c r="B162" i="2" s="1"/>
  <c r="I161" i="2"/>
  <c r="A161" i="2"/>
  <c r="B161" i="2" s="1"/>
  <c r="I160" i="2"/>
  <c r="A160" i="2"/>
  <c r="B160" i="2" s="1"/>
  <c r="I159" i="2"/>
  <c r="A159" i="2"/>
  <c r="B159" i="2" s="1"/>
  <c r="I158" i="2"/>
  <c r="A158" i="2"/>
  <c r="B158" i="2" s="1"/>
  <c r="I157" i="2"/>
  <c r="A157" i="2"/>
  <c r="B157" i="2" s="1"/>
  <c r="I156" i="2"/>
  <c r="A156" i="2"/>
  <c r="B156" i="2" s="1"/>
  <c r="I155" i="2"/>
  <c r="A155" i="2"/>
  <c r="B155" i="2" s="1"/>
  <c r="I154" i="2"/>
  <c r="A154" i="2"/>
  <c r="B154" i="2" s="1"/>
  <c r="I153" i="2"/>
  <c r="A153" i="2"/>
  <c r="B153" i="2" s="1"/>
  <c r="I152" i="2"/>
  <c r="A152" i="2"/>
  <c r="B152" i="2" s="1"/>
  <c r="I151" i="2"/>
  <c r="A151" i="2"/>
  <c r="B151" i="2" s="1"/>
  <c r="I150" i="2"/>
  <c r="A150" i="2"/>
  <c r="B150" i="2" s="1"/>
  <c r="I149" i="2"/>
  <c r="A149" i="2"/>
  <c r="B149" i="2" s="1"/>
  <c r="I148" i="2"/>
  <c r="A148" i="2"/>
  <c r="B148" i="2" s="1"/>
  <c r="I147" i="2"/>
  <c r="A147" i="2"/>
  <c r="B147" i="2" s="1"/>
  <c r="I146" i="2"/>
  <c r="A146" i="2"/>
  <c r="B146" i="2" s="1"/>
  <c r="I145" i="2"/>
  <c r="A145" i="2"/>
  <c r="B145" i="2" s="1"/>
  <c r="I144" i="2"/>
  <c r="A144" i="2"/>
  <c r="B144" i="2" s="1"/>
  <c r="I143" i="2"/>
  <c r="A143" i="2"/>
  <c r="B143" i="2" s="1"/>
  <c r="I142" i="2"/>
  <c r="A142" i="2"/>
  <c r="B142" i="2" s="1"/>
  <c r="I141" i="2"/>
  <c r="A141" i="2"/>
  <c r="B141" i="2" s="1"/>
  <c r="I140" i="2"/>
  <c r="A140" i="2"/>
  <c r="B140" i="2" s="1"/>
  <c r="I139" i="2"/>
  <c r="A139" i="2"/>
  <c r="B139" i="2" s="1"/>
  <c r="I138" i="2"/>
  <c r="A138" i="2"/>
  <c r="B138" i="2" s="1"/>
  <c r="I137" i="2"/>
  <c r="A137" i="2"/>
  <c r="B137" i="2" s="1"/>
  <c r="I136" i="2"/>
  <c r="A136" i="2"/>
  <c r="B136" i="2" s="1"/>
  <c r="I135" i="2"/>
  <c r="A135" i="2"/>
  <c r="B135" i="2" s="1"/>
  <c r="I134" i="2"/>
  <c r="A134" i="2"/>
  <c r="B134" i="2" s="1"/>
  <c r="I133" i="2"/>
  <c r="A133" i="2"/>
  <c r="B133" i="2" s="1"/>
  <c r="I132" i="2"/>
  <c r="A132" i="2"/>
  <c r="B132" i="2" s="1"/>
  <c r="I131" i="2"/>
  <c r="A131" i="2"/>
  <c r="B131" i="2" s="1"/>
  <c r="I130" i="2"/>
  <c r="A130" i="2"/>
  <c r="B130" i="2" s="1"/>
  <c r="I129" i="2"/>
  <c r="A129" i="2"/>
  <c r="B129" i="2" s="1"/>
  <c r="I128" i="2"/>
  <c r="A128" i="2"/>
  <c r="B128" i="2" s="1"/>
  <c r="I127" i="2"/>
  <c r="A127" i="2"/>
  <c r="B127" i="2" s="1"/>
  <c r="I126" i="2"/>
  <c r="A126" i="2"/>
  <c r="B126" i="2" s="1"/>
  <c r="I125" i="2"/>
  <c r="A125" i="2"/>
  <c r="B125" i="2" s="1"/>
  <c r="I124" i="2"/>
  <c r="A124" i="2"/>
  <c r="B124" i="2" s="1"/>
  <c r="I123" i="2"/>
  <c r="A123" i="2"/>
  <c r="B123" i="2" s="1"/>
  <c r="I122" i="2"/>
  <c r="A122" i="2"/>
  <c r="B122" i="2" s="1"/>
  <c r="I121" i="2"/>
  <c r="A121" i="2"/>
  <c r="B121" i="2" s="1"/>
  <c r="I120" i="2"/>
  <c r="A120" i="2"/>
  <c r="B120" i="2" s="1"/>
  <c r="I119" i="2"/>
  <c r="A119" i="2"/>
  <c r="B119" i="2" s="1"/>
  <c r="I118" i="2"/>
  <c r="A118" i="2"/>
  <c r="B118" i="2" s="1"/>
  <c r="I117" i="2"/>
  <c r="A117" i="2"/>
  <c r="B117" i="2" s="1"/>
  <c r="I116" i="2"/>
  <c r="A116" i="2"/>
  <c r="B116" i="2" s="1"/>
  <c r="I115" i="2"/>
  <c r="A115" i="2"/>
  <c r="B115" i="2" s="1"/>
  <c r="I114" i="2"/>
  <c r="A114" i="2"/>
  <c r="B114" i="2" s="1"/>
  <c r="I113" i="2"/>
  <c r="A113" i="2"/>
  <c r="B113" i="2" s="1"/>
  <c r="I112" i="2"/>
  <c r="A112" i="2"/>
  <c r="B112" i="2" s="1"/>
  <c r="I111" i="2"/>
  <c r="A111" i="2"/>
  <c r="B111" i="2" s="1"/>
  <c r="I110" i="2"/>
  <c r="A110" i="2"/>
  <c r="B110" i="2" s="1"/>
  <c r="I109" i="2"/>
  <c r="A109" i="2"/>
  <c r="B109" i="2" s="1"/>
  <c r="I108" i="2"/>
  <c r="A108" i="2"/>
  <c r="B108" i="2" s="1"/>
  <c r="I107" i="2"/>
  <c r="A107" i="2"/>
  <c r="B107" i="2" s="1"/>
  <c r="I106" i="2"/>
  <c r="A106" i="2"/>
  <c r="B106" i="2" s="1"/>
  <c r="I105" i="2"/>
  <c r="A105" i="2"/>
  <c r="B105" i="2" s="1"/>
  <c r="I104" i="2"/>
  <c r="A104" i="2"/>
  <c r="B104" i="2" s="1"/>
  <c r="I103" i="2"/>
  <c r="A103" i="2"/>
  <c r="B103" i="2" s="1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79" i="2"/>
  <c r="I78" i="2"/>
  <c r="I77" i="2"/>
  <c r="I76" i="2"/>
  <c r="I75" i="2"/>
  <c r="I74" i="2"/>
  <c r="I73" i="2"/>
  <c r="I72" i="2"/>
  <c r="I71" i="2"/>
  <c r="I69" i="2"/>
  <c r="I68" i="2"/>
  <c r="I67" i="2"/>
  <c r="I66" i="2"/>
  <c r="I65" i="2"/>
  <c r="I64" i="2"/>
  <c r="I62" i="2"/>
  <c r="I60" i="2"/>
  <c r="I59" i="2"/>
  <c r="I58" i="2"/>
  <c r="I57" i="2"/>
  <c r="I56" i="2"/>
  <c r="I55" i="2"/>
  <c r="I54" i="2"/>
  <c r="I53" i="2"/>
  <c r="I51" i="2"/>
  <c r="I50" i="2"/>
  <c r="I48" i="2"/>
  <c r="A48" i="2"/>
  <c r="I47" i="2"/>
  <c r="A47" i="2"/>
  <c r="I46" i="2"/>
  <c r="A46" i="2"/>
  <c r="I45" i="2"/>
  <c r="A45" i="2"/>
  <c r="I44" i="2"/>
  <c r="A44" i="2"/>
  <c r="I43" i="2"/>
  <c r="A43" i="2"/>
  <c r="I42" i="2"/>
  <c r="A42" i="2"/>
  <c r="I41" i="2"/>
  <c r="A41" i="2"/>
  <c r="I40" i="2"/>
  <c r="A40" i="2"/>
  <c r="I39" i="2"/>
  <c r="A39" i="2"/>
  <c r="I38" i="2"/>
  <c r="A38" i="2"/>
  <c r="I37" i="2"/>
  <c r="A37" i="2"/>
  <c r="I36" i="2"/>
  <c r="A36" i="2"/>
  <c r="I35" i="2"/>
  <c r="A35" i="2"/>
  <c r="I34" i="2"/>
  <c r="A34" i="2"/>
  <c r="I33" i="2"/>
  <c r="A33" i="2"/>
  <c r="I32" i="2"/>
  <c r="A32" i="2"/>
  <c r="I31" i="2"/>
  <c r="A31" i="2"/>
  <c r="I30" i="2"/>
  <c r="A30" i="2"/>
  <c r="I29" i="2"/>
  <c r="A29" i="2"/>
  <c r="I28" i="2"/>
  <c r="A28" i="2"/>
  <c r="I27" i="2"/>
  <c r="A27" i="2"/>
  <c r="I26" i="2"/>
  <c r="A26" i="2"/>
  <c r="I25" i="2"/>
  <c r="A25" i="2"/>
  <c r="I24" i="2"/>
  <c r="A24" i="2"/>
  <c r="I23" i="2"/>
  <c r="A23" i="2"/>
  <c r="I22" i="2"/>
  <c r="A22" i="2"/>
  <c r="I21" i="2"/>
  <c r="A21" i="2"/>
  <c r="I20" i="2"/>
  <c r="A20" i="2"/>
  <c r="I19" i="2"/>
  <c r="A19" i="2"/>
  <c r="I18" i="2"/>
  <c r="A18" i="2"/>
  <c r="I17" i="2"/>
  <c r="A17" i="2"/>
  <c r="I16" i="2"/>
  <c r="A16" i="2"/>
  <c r="I12" i="2"/>
  <c r="I11" i="2"/>
  <c r="I8" i="2"/>
  <c r="A8" i="2"/>
  <c r="I7" i="2"/>
  <c r="A7" i="2"/>
  <c r="I6" i="2"/>
  <c r="A6" i="2"/>
  <c r="I5" i="2"/>
  <c r="A5" i="2"/>
  <c r="I4" i="2"/>
  <c r="A4" i="2"/>
  <c r="B4" i="2" s="1"/>
  <c r="I2" i="2"/>
  <c r="A2" i="2"/>
  <c r="B2" i="2" s="1"/>
</calcChain>
</file>

<file path=xl/sharedStrings.xml><?xml version="1.0" encoding="utf-8"?>
<sst xmlns="http://schemas.openxmlformats.org/spreadsheetml/2006/main" count="1163" uniqueCount="426">
  <si>
    <t>GUÍA — PLANTILLA DE ARTÍCULOS · GRUPO: MATERIA PRIMA</t>
  </si>
  <si>
    <t>LEYENDA DE COLORES</t>
  </si>
  <si>
    <t>Columna OBLIGATORIA (*) — debe llenarse siempre</t>
  </si>
  <si>
    <t>Columna OPCIONAL — llénala solo si aplica</t>
  </si>
  <si>
    <t>Columna AUTOMÁTICA — no la edites: se calcula sola</t>
  </si>
  <si>
    <t>Fila de EJEMPLO — sobrescríbela o bórrala</t>
  </si>
  <si>
    <t>CÓMO LLENAR (hoja Artículos)</t>
  </si>
  <si>
    <t>• Una fila por artículo desde la fila 2 (la fila 2 es un ejemplo). No dejes filas vacías intermedias.</t>
  </si>
  <si>
    <t>• El CÓDIGO se genera SOLO cuando los 5 obligatorios están completos: Nombre, UM de Inventario, Control, IGV y Estado. Mientras falte alguno, la celda queda vacía.</t>
  </si>
  <si>
    <t>• Elige primero la Categoría; la Sub categoría muestra solo las de esa categoría (si no tiene, en blanco). La Valorización se completa sola.</t>
  </si>
  <si>
    <t>SUB-HOJAS (Atributos · Stock Mínimo · Códigos de Barras)</t>
  </si>
  <si>
    <t>• El «Código artículo» es un desplegable que SOLO muestra los códigos ya generados en la hoja Artículos; el nombre del artículo aparece solo.</t>
  </si>
  <si>
    <t>• En Stock Mínimo, al elegir el código de almacén aparecen su nombre y sede; la unidad se toma del artículo.</t>
  </si>
  <si>
    <t>CÓMO CONFIGURAR (hoja Configuraciones)</t>
  </si>
  <si>
    <t>• Todas las listas son TABLAS: escribe debajo de la última fila y crecen solas (hay filas libres reservadas).</t>
  </si>
  <si>
    <t>• Categorías (bloque 2): código corto tipo prefijo (TEL, HIL, AVCONF…) — tú lo escribes al crear una nueva.</t>
  </si>
  <si>
    <t>• Categoría nueva con sub categorías: agrégala en el bloque 2, copia un bloque del punto 3 y renombra la tabla como T_ + NOMBRE con guiones bajos (Diseño de tabla → Nombre de tabla).</t>
  </si>
  <si>
    <t>• Almacenes (bloque 12): lista de referencia con su sede, usada por Stock Mínimo.</t>
  </si>
  <si>
    <t>Código (auto)</t>
  </si>
  <si>
    <t>Grupo de Artículo (auto)</t>
  </si>
  <si>
    <t>Categoría</t>
  </si>
  <si>
    <t>Sub categoría</t>
  </si>
  <si>
    <t>Nombre (*)</t>
  </si>
  <si>
    <t>Descripción</t>
  </si>
  <si>
    <t>UM de Inventario (*)</t>
  </si>
  <si>
    <t>Control de inventario (*)</t>
  </si>
  <si>
    <t>Valorización (auto)</t>
  </si>
  <si>
    <t>Apto para producción</t>
  </si>
  <si>
    <t>Precio venta sugerido S/.</t>
  </si>
  <si>
    <t>UM de venta</t>
  </si>
  <si>
    <t>Precio venta mínimo S/.</t>
  </si>
  <si>
    <t>Proveedor por defecto</t>
  </si>
  <si>
    <t>Precio compra ref. S/.</t>
  </si>
  <si>
    <t>UM de compra</t>
  </si>
  <si>
    <t>Afectación IGV (*)</t>
  </si>
  <si>
    <t>Estado (*)</t>
  </si>
  <si>
    <t>AVIOS DE CONFECCION</t>
  </si>
  <si>
    <t>CIERRES</t>
  </si>
  <si>
    <t>CIERRE METALICO 12CM BRONCE</t>
  </si>
  <si>
    <t>Cierre metálico bronce 12 cm</t>
  </si>
  <si>
    <t>UND</t>
  </si>
  <si>
    <t>Nada</t>
  </si>
  <si>
    <t>No</t>
  </si>
  <si>
    <t>AVIOS DEL SUR EIRL</t>
  </si>
  <si>
    <t>Gravado - Operación Onerosa (18%)</t>
  </si>
  <si>
    <t>Activo</t>
  </si>
  <si>
    <t>CONFIGURACIONES · GRUPO: MATERIA PRIMA</t>
  </si>
  <si>
    <t>1. GRUPO DE ARTÍCULO (fijo en esta plantilla)</t>
  </si>
  <si>
    <t>Código</t>
  </si>
  <si>
    <t>Nombre</t>
  </si>
  <si>
    <t>Prefijo</t>
  </si>
  <si>
    <t>Asignación</t>
  </si>
  <si>
    <t>MP</t>
  </si>
  <si>
    <t>MATERIA PRIMA</t>
  </si>
  <si>
    <t>MP-</t>
  </si>
  <si>
    <t>Interna</t>
  </si>
  <si>
    <t>2. CATEGORÍAS · código corto tipo prefijo (TEL, HIL, AVCONF…)  (agrega filas debajo)</t>
  </si>
  <si>
    <t>CODIGO</t>
  </si>
  <si>
    <t>NOMBRE</t>
  </si>
  <si>
    <t>CV</t>
  </si>
  <si>
    <t>TEL</t>
  </si>
  <si>
    <t>TELAS</t>
  </si>
  <si>
    <t>CV-01</t>
  </si>
  <si>
    <t>HIL</t>
  </si>
  <si>
    <t>HILOS</t>
  </si>
  <si>
    <t>CV-02</t>
  </si>
  <si>
    <t>AVCONF</t>
  </si>
  <si>
    <t>AVACABPRIN</t>
  </si>
  <si>
    <t>AVIOS DE ACABADOS PRINCIPALES</t>
  </si>
  <si>
    <t>AVACABSEC</t>
  </si>
  <si>
    <t>AVIOS DE ACABADOS SECUNDARIOS</t>
  </si>
  <si>
    <t>3. SUB CATEGORÍAS · una tabla por categoría, sin código  (agrega filas debajo)</t>
  </si>
  <si>
    <t>Categoría nueva con sub categorías: agrégala en el bloque 2, copia aquí uno de estos bloques y renombra la tabla como T_ + nombre con guiones bajos (Diseño de tabla → Nombre).</t>
  </si>
  <si>
    <t>SUBCATEGORIA</t>
  </si>
  <si>
    <t>TALLITAS</t>
  </si>
  <si>
    <t>BOTON</t>
  </si>
  <si>
    <t>CUEROS</t>
  </si>
  <si>
    <t>ETIQUETA PANTALON</t>
  </si>
  <si>
    <t>ETIQUETA CASACA</t>
  </si>
  <si>
    <t>HANG TAG</t>
  </si>
  <si>
    <t>JALADORES</t>
  </si>
  <si>
    <t>CINTA SCOTCH</t>
  </si>
  <si>
    <t>BOLSA BRILLO</t>
  </si>
  <si>
    <t>BALIN</t>
  </si>
  <si>
    <t>RAFIA</t>
  </si>
  <si>
    <t>HILOS DE ACABADOS</t>
  </si>
  <si>
    <t>REGULADORES</t>
  </si>
  <si>
    <t>HEBILLAS</t>
  </si>
  <si>
    <t>BOTON ACRILICO</t>
  </si>
  <si>
    <t>PLANCHA DE BRILLOS</t>
  </si>
  <si>
    <t>CODIGO DE BARRA</t>
  </si>
  <si>
    <t>4. UNIDADES DE MEDIDA  (espacio amplio: agrega debajo)</t>
  </si>
  <si>
    <t>UNIDAD</t>
  </si>
  <si>
    <t>MT</t>
  </si>
  <si>
    <t>KG</t>
  </si>
  <si>
    <t>DOC</t>
  </si>
  <si>
    <t>MILLAR</t>
  </si>
  <si>
    <t>ROLLO</t>
  </si>
  <si>
    <t>CONO</t>
  </si>
  <si>
    <t>PAR</t>
  </si>
  <si>
    <t>JUEGO</t>
  </si>
  <si>
    <t>CAJA</t>
  </si>
  <si>
    <t>PAQUETE</t>
  </si>
  <si>
    <t>LT</t>
  </si>
  <si>
    <t>5. CONTROL DE INVENTARIO</t>
  </si>
  <si>
    <t>CONTROL</t>
  </si>
  <si>
    <t>Lote</t>
  </si>
  <si>
    <t>Serie</t>
  </si>
  <si>
    <t>6. AFECTACIÓN IGV</t>
  </si>
  <si>
    <t>AFECTACION</t>
  </si>
  <si>
    <t>Exonerado</t>
  </si>
  <si>
    <t>Inafecto</t>
  </si>
  <si>
    <t>7. ESTADO</t>
  </si>
  <si>
    <t>ESTADO</t>
  </si>
  <si>
    <t>Inactivo</t>
  </si>
  <si>
    <t>8. SÍ / NO</t>
  </si>
  <si>
    <t>VALOR</t>
  </si>
  <si>
    <t>Sí</t>
  </si>
  <si>
    <t>9. ATRIBUTOS</t>
  </si>
  <si>
    <t>ATRIBUTO</t>
  </si>
  <si>
    <t>Color</t>
  </si>
  <si>
    <t>Talla</t>
  </si>
  <si>
    <t>Material</t>
  </si>
  <si>
    <t>Composición</t>
  </si>
  <si>
    <t>Acabado</t>
  </si>
  <si>
    <t>Género</t>
  </si>
  <si>
    <t>10. TIPOS DE CÓDIGO DE BARRA</t>
  </si>
  <si>
    <t>TIPO</t>
  </si>
  <si>
    <t>GTIN / EAN</t>
  </si>
  <si>
    <t>Interno</t>
  </si>
  <si>
    <t>Proveedor</t>
  </si>
  <si>
    <t>Cliente</t>
  </si>
  <si>
    <t>Legado</t>
  </si>
  <si>
    <t>11. CLASES DE VALORIZACIÓN (solo referencia)</t>
  </si>
  <si>
    <t>MP - Telas</t>
  </si>
  <si>
    <t>MP - Avíos</t>
  </si>
  <si>
    <t>CV-03</t>
  </si>
  <si>
    <t>MP - Envases y embalajes</t>
  </si>
  <si>
    <t>CV-04</t>
  </si>
  <si>
    <t>PPT - En planta</t>
  </si>
  <si>
    <t>CV-05</t>
  </si>
  <si>
    <t>PPT - En poder de terceros</t>
  </si>
  <si>
    <t>CV-06</t>
  </si>
  <si>
    <t>Productos terminados</t>
  </si>
  <si>
    <t>CV-07</t>
  </si>
  <si>
    <t>Mercadería</t>
  </si>
  <si>
    <t>CV-08</t>
  </si>
  <si>
    <t>Muestras</t>
  </si>
  <si>
    <t>CV-09</t>
  </si>
  <si>
    <t>Servicios</t>
  </si>
  <si>
    <t>12. ALMACENES (referencia para Stock Mínimo · con su sede)</t>
  </si>
  <si>
    <t>SEDE</t>
  </si>
  <si>
    <t>SB-CENTRAL</t>
  </si>
  <si>
    <t>Almacén Central</t>
  </si>
  <si>
    <t>Gamarra</t>
  </si>
  <si>
    <t>SB-CENTRAL-MP</t>
  </si>
  <si>
    <t>Almacén Central Materia Prima</t>
  </si>
  <si>
    <t>SB-LIQUID</t>
  </si>
  <si>
    <t>Almacén Liquidación Central</t>
  </si>
  <si>
    <t>SB-ZARATE-MP</t>
  </si>
  <si>
    <t>Almacén Zárate Materia Prima</t>
  </si>
  <si>
    <t>Zárate</t>
  </si>
  <si>
    <t>SB-ONLINE</t>
  </si>
  <si>
    <t>Almacén Online</t>
  </si>
  <si>
    <t>Virtual</t>
  </si>
  <si>
    <t>SB-TRANSITO</t>
  </si>
  <si>
    <t>Almacén en Transición</t>
  </si>
  <si>
    <t>SB-TIENDA01</t>
  </si>
  <si>
    <t>Tienda #1</t>
  </si>
  <si>
    <t>Galeria "Ya"</t>
  </si>
  <si>
    <t>SB-TIENDA02</t>
  </si>
  <si>
    <t>Tienda #2</t>
  </si>
  <si>
    <t>Galeria "Damero"</t>
  </si>
  <si>
    <t>SB-TIENDA03</t>
  </si>
  <si>
    <t>Tienda #3</t>
  </si>
  <si>
    <t>Galeria "Paraíso"</t>
  </si>
  <si>
    <t>SB-TIENDA04</t>
  </si>
  <si>
    <t>Tienda #4</t>
  </si>
  <si>
    <t>Galería "San Pedro"</t>
  </si>
  <si>
    <t>SB-TIENDA05</t>
  </si>
  <si>
    <t>Tienda #5</t>
  </si>
  <si>
    <t>Galería "Encanto"</t>
  </si>
  <si>
    <t>SB-TIENDALIQ01</t>
  </si>
  <si>
    <t>Tienda Liquidación #1</t>
  </si>
  <si>
    <t>SB-TIENDALIQ02</t>
  </si>
  <si>
    <t>Tienda Liquidación #2</t>
  </si>
  <si>
    <t>SB-TIENDALIQ03</t>
  </si>
  <si>
    <t>Tienda Liquidación #3</t>
  </si>
  <si>
    <t>CN-CENTRAL</t>
  </si>
  <si>
    <t>CN-CENTRAL-MP</t>
  </si>
  <si>
    <t>CN-LIQUID</t>
  </si>
  <si>
    <t>CN-ZARATE-MP</t>
  </si>
  <si>
    <t>CN-ONLINE</t>
  </si>
  <si>
    <t>CN-TRANSITO</t>
  </si>
  <si>
    <t>CN-TIENDA01</t>
  </si>
  <si>
    <t>CN-TIENDA02</t>
  </si>
  <si>
    <t>CN-TIENDA03</t>
  </si>
  <si>
    <t>CN-TIENDA04</t>
  </si>
  <si>
    <t>Galería "Jeans"</t>
  </si>
  <si>
    <t>CN-TIENDALIQ02</t>
  </si>
  <si>
    <t>CN-TIENDALIQ03</t>
  </si>
  <si>
    <t>Código artículo (*)</t>
  </si>
  <si>
    <t>Nombre artículo (auto)</t>
  </si>
  <si>
    <t>Atributo (*)</t>
  </si>
  <si>
    <t>Valor de Atributo (*)</t>
  </si>
  <si>
    <t>Código almacén (*)</t>
  </si>
  <si>
    <t>Nombre almacén (auto)</t>
  </si>
  <si>
    <t>Sede (auto)</t>
  </si>
  <si>
    <t>Cantidad mínima (*)</t>
  </si>
  <si>
    <t>Unidad (auto)</t>
  </si>
  <si>
    <t>Tipo de código de barra (*)</t>
  </si>
  <si>
    <t>Código de barras (*)</t>
  </si>
  <si>
    <t>Observaciones</t>
  </si>
  <si>
    <t>YKK</t>
  </si>
  <si>
    <t>AZUL</t>
  </si>
  <si>
    <t>Cierre metalico  10  cm  Azul</t>
  </si>
  <si>
    <t>Cierre metalico  12  cm  Azul</t>
  </si>
  <si>
    <t>Cierre metalico  13  cm  Azul</t>
  </si>
  <si>
    <t>Cierre metalico  14  cm  Azul</t>
  </si>
  <si>
    <t>Cierre metalico  15  cm  Azul</t>
  </si>
  <si>
    <t>Cierre metalico  12  cm  Negro</t>
  </si>
  <si>
    <t>Cierre metalico  13  cm  Negro</t>
  </si>
  <si>
    <t>CIERRES REY</t>
  </si>
  <si>
    <t>CIERRES  REY</t>
  </si>
  <si>
    <t>CIERRE METALICO 10 cm AZUL YKK</t>
  </si>
  <si>
    <t>CIERRE METALICO 13 cm AZUL YKK</t>
  </si>
  <si>
    <t>CIERRE METALICO 14 cm AZUL YKK</t>
  </si>
  <si>
    <t>CIERRE METALICO 15 cm AZUL YKK</t>
  </si>
  <si>
    <t>CIERRE METALICO 12 cm NEGRO YKK</t>
  </si>
  <si>
    <t>CIERRE METALICO 13 cm NEGRO YKK</t>
  </si>
  <si>
    <t>CIERRE METALICO  7 cm AZUL  REY</t>
  </si>
  <si>
    <t>CIERRE METALICO  10 cm AZUL  REY</t>
  </si>
  <si>
    <t>CIERRE METALICO  12 cm AZUL  REY</t>
  </si>
  <si>
    <t>CIERRE METALICO  13 cm AZUL  REY</t>
  </si>
  <si>
    <t>CIERRE METALICO  14 cm AZUL  REY</t>
  </si>
  <si>
    <t>CIERRE METALICO  15 cm AZUL  REY</t>
  </si>
  <si>
    <t>CIERRE METALICO  16 cm AZUL  REY</t>
  </si>
  <si>
    <t>CIERRE METALICO  13 cm  NEGRO  REY</t>
  </si>
  <si>
    <t>CIERRE METALICO  14 cm  NEGRO  REY</t>
  </si>
  <si>
    <t>CIERRE METALICO  12  cm  AZUL YKK</t>
  </si>
  <si>
    <t>CIERRE METALICO 8 cm AZUL YKK</t>
  </si>
  <si>
    <t>CIERRES  YKKA</t>
  </si>
  <si>
    <t>CIERRES YKKN</t>
  </si>
  <si>
    <t>CIERRES  YKKN</t>
  </si>
  <si>
    <t>CIERRE METALICO 8 cm NEGRO YKK</t>
  </si>
  <si>
    <t>CIERRE METALICO 10 cm NEGRO YKK</t>
  </si>
  <si>
    <t>CIERRE METALICO 14 cm NEGRO YKK</t>
  </si>
  <si>
    <t>CIERRE METALICO 15 cm NEGRO YKK</t>
  </si>
  <si>
    <t>CIERRE METALICO 16 cm NEGRO YKK</t>
  </si>
  <si>
    <t>CIERRES  YKKB</t>
  </si>
  <si>
    <t>CIERRE METALICO  10 cm  BLANCO YKK</t>
  </si>
  <si>
    <t>CIERRES YKKB</t>
  </si>
  <si>
    <t>CIERRES YKKC</t>
  </si>
  <si>
    <t>CIERRE METALICO  12 cm  BLANCO YKK</t>
  </si>
  <si>
    <t>CIERRE METALICO  14 cm  BLANCO YKK</t>
  </si>
  <si>
    <t>CIERRE METALICO  15 cm  BLANCO YKK</t>
  </si>
  <si>
    <t>CIERRE METALICO  8 cm  CELESTE YKK</t>
  </si>
  <si>
    <t>CIERRE METALICO  10 cm  CELESTE YKK</t>
  </si>
  <si>
    <t>CIERRE METALICO  12 cm  CELESTE YKK</t>
  </si>
  <si>
    <t>CIERRE METALICO  13 cm  CELESTE YKK</t>
  </si>
  <si>
    <t>CIERRE METALICO  14 cm  CELESTE YKK</t>
  </si>
  <si>
    <t>CIERRE METALICO  15 cm  CELESTE YKK</t>
  </si>
  <si>
    <t>CIERRE METALICO  16 cm  CELESTE YKK</t>
  </si>
  <si>
    <t>CIERRE METALICO  20 cm  CELESTE YKK</t>
  </si>
  <si>
    <t>CIERRE METALICO  25 cm  CELESTE YKK</t>
  </si>
  <si>
    <t>CIERRE METALICO  30 cm  CELESTE YKK</t>
  </si>
  <si>
    <t>CIERRE METALICO  40 cm  CELESTE YKK</t>
  </si>
  <si>
    <t>CIERRE METALICO  45 cm  CELESTE YKK</t>
  </si>
  <si>
    <t>CIERRE METALICO  55 cm  CELESTE YKK</t>
  </si>
  <si>
    <t>CIERRES  YKKC</t>
  </si>
  <si>
    <t>Cierre metalico  8 cm  Negro</t>
  </si>
  <si>
    <t>Cierre metalico  10 cm  Negro</t>
  </si>
  <si>
    <t>Cierre metalico  14  cm  Negro</t>
  </si>
  <si>
    <t>Cierre metalico  15  cm  Negro</t>
  </si>
  <si>
    <t>Cierre metalico  16  cm  Negro</t>
  </si>
  <si>
    <t>Cierre metalico  7  cm  Azul Rey</t>
  </si>
  <si>
    <t>Cierre metalico  10  cm  Azul Rey</t>
  </si>
  <si>
    <t>Cierre metalico  12  cm  Azul Rey</t>
  </si>
  <si>
    <t>Cierre metalico  13  cm  Azul Rey</t>
  </si>
  <si>
    <t>Cierre metalico  14  cm  Azul Rey</t>
  </si>
  <si>
    <t>Cierre metalico  15  cm  Azul Rey</t>
  </si>
  <si>
    <t>Cierre metalico  16  cm  Azul Rey</t>
  </si>
  <si>
    <t>Cierre metalico  13  cm  Negro Rey</t>
  </si>
  <si>
    <t>Cierre metalico  14  cm  Negro Rey</t>
  </si>
  <si>
    <t>Cierre metalico  10  cm  Blanco Ykkb</t>
  </si>
  <si>
    <t>Cierre metalico  12  cm  Blanco Ykkb</t>
  </si>
  <si>
    <t>Cierre metalico  14  cm  Blanco Ykkb</t>
  </si>
  <si>
    <t>Cierre metalico  15  cm  Blanco Ykkb</t>
  </si>
  <si>
    <t>Cierre metalico  8  cm  Celeste Ykkc</t>
  </si>
  <si>
    <t>Cierre metalico  10  cm  Celeste Ykkc</t>
  </si>
  <si>
    <t>Cierre metalico  12  cm  Celeste Ykkc</t>
  </si>
  <si>
    <t>Cierre metalico  13  cm  Celeste Ykkc</t>
  </si>
  <si>
    <t>Cierre metalico  14  cm  Celeste Ykkc</t>
  </si>
  <si>
    <t>Cierre metalico  15  cm  Celeste Ykkc</t>
  </si>
  <si>
    <t>Cierre metalico  16  cm  Celeste Ykkc</t>
  </si>
  <si>
    <t>Cierre metalico  20  cm  Celeste Ykkc</t>
  </si>
  <si>
    <t>Cierre metalico  25  cm  Celeste Ykkc</t>
  </si>
  <si>
    <t>Cierre metalico  30  cm  Celeste Ykkc</t>
  </si>
  <si>
    <t>Cierre metalico  40  cm  Celeste Ykkc</t>
  </si>
  <si>
    <t>Cierre metalico  45  cm  Celeste Ykkc</t>
  </si>
  <si>
    <t>Cierre metalico  55  cm  Celeste Ykkc</t>
  </si>
  <si>
    <t>TALLITA  BLANCA  N° 26</t>
  </si>
  <si>
    <t>TALLITA  BLANCA  N° 28</t>
  </si>
  <si>
    <t>TALLITA  BLANCA  N° 30</t>
  </si>
  <si>
    <t>TALLITA  BLANCA  N° 32</t>
  </si>
  <si>
    <t>TALLITA  BLANCA  N° 34</t>
  </si>
  <si>
    <t>Tallitas  Blancas  N°  26</t>
  </si>
  <si>
    <t>Tallitas  Blancas  N°  28</t>
  </si>
  <si>
    <t>Tallitas  Blancas  N°  30</t>
  </si>
  <si>
    <t>Tallitas  Blancas  N°  32</t>
  </si>
  <si>
    <t>Tallitas  Blancas  N°  34</t>
  </si>
  <si>
    <t>HILO BLANCO  20/2</t>
  </si>
  <si>
    <t>HILO BLANCO  20/3</t>
  </si>
  <si>
    <t>HILO BEIGE  13  20/2</t>
  </si>
  <si>
    <t>HILO BEIGE  13  20/3</t>
  </si>
  <si>
    <t>HILO NEGRO  325  20/2</t>
  </si>
  <si>
    <t>HILO NEGRO  325  20/3</t>
  </si>
  <si>
    <t>HILO BLANCO  40/2</t>
  </si>
  <si>
    <t>HILO NEGRO  325  40/2</t>
  </si>
  <si>
    <t>HILO OCRE  AG112  20/2</t>
  </si>
  <si>
    <t>HILO OCRE  AG112  20/3</t>
  </si>
  <si>
    <t>HILO OCRE  AG112  40/2</t>
  </si>
  <si>
    <t>HILO ACERO  342  20/2</t>
  </si>
  <si>
    <t>HILO ACERO  342  40/2</t>
  </si>
  <si>
    <t>Hilo  Blanco  20/2</t>
  </si>
  <si>
    <t>Hilo  Blanco  20/3</t>
  </si>
  <si>
    <t>Hilo  Blanco  40/2</t>
  </si>
  <si>
    <t>Hilo  Beige  13  20/2</t>
  </si>
  <si>
    <t>Hilo  Beige  13  20/3</t>
  </si>
  <si>
    <t>Hilo  Negro  325  20/2</t>
  </si>
  <si>
    <t>Hilo  Negro  325  20/3</t>
  </si>
  <si>
    <t>Hilo  Negro  325  40/2</t>
  </si>
  <si>
    <t>Hilo  Ag  112  20/2</t>
  </si>
  <si>
    <t>Hilo  Ag  112  20/3</t>
  </si>
  <si>
    <t>Hilo  Ag  112  40/2</t>
  </si>
  <si>
    <t>Hilo  Acero  342  20/2</t>
  </si>
  <si>
    <t>Hilo  Acero  342  40/2</t>
  </si>
  <si>
    <t>HILO BEIGE  13  40/2</t>
  </si>
  <si>
    <t>Hilo  Beige  13  40/2</t>
  </si>
  <si>
    <t>HILO  HUESO  351  20/3</t>
  </si>
  <si>
    <t>HILO  CRUDO  20</t>
  </si>
  <si>
    <t>HILO  CRUDO  30</t>
  </si>
  <si>
    <t>HILO  HUESO  351  20/2</t>
  </si>
  <si>
    <t>Hilo  Hueso  351  20/2</t>
  </si>
  <si>
    <t>Hilo  Hueso  351  20/3</t>
  </si>
  <si>
    <t>Hilo  Crudo  20</t>
  </si>
  <si>
    <t>Hilo  Crudo  30</t>
  </si>
  <si>
    <t>Hilo  Hueso  351  20/4</t>
  </si>
  <si>
    <t>HILO  HUESO  351  40/2</t>
  </si>
  <si>
    <t>RIGIDO</t>
  </si>
  <si>
    <t>CONFORT</t>
  </si>
  <si>
    <t>STRECH</t>
  </si>
  <si>
    <t>DENIM  CONFORT  4055  BLUE</t>
  </si>
  <si>
    <t>DENIM  RIGIDO  7384  BLUE</t>
  </si>
  <si>
    <t>DENIM  RIGIDO  7382  BLUE</t>
  </si>
  <si>
    <t>DENIM  CONFORT BORA BORA  BLACK</t>
  </si>
  <si>
    <t>DENIM  CONFORT 8715  BLUE</t>
  </si>
  <si>
    <t>DENIM  CONFORT 8715  BLACK</t>
  </si>
  <si>
    <t>DENIM  CONFORT  3823 FORTE  BLUE</t>
  </si>
  <si>
    <t>DENIM  RIGIDO  7388  BLUE</t>
  </si>
  <si>
    <t>DENIM  RIGIDO  7388  BLACK</t>
  </si>
  <si>
    <t>DENIM  RIGIDO  BROKER  AZUL</t>
  </si>
  <si>
    <t>DENIM  CONFORT BORA BORA  AZUL</t>
  </si>
  <si>
    <t>DENIM  CONFORT  JAVA  AZUL</t>
  </si>
  <si>
    <t>DENIM  CONFORT  JAVA  BLACK</t>
  </si>
  <si>
    <t>DENIM  RIGIDO  3560  BLACK</t>
  </si>
  <si>
    <t>DENIM  RIGIDO  5422  BLACK</t>
  </si>
  <si>
    <t>DENIM  CONFORT  CONFY  AZUL</t>
  </si>
  <si>
    <t>DENIM  CONFORT  7492  AZUL</t>
  </si>
  <si>
    <t xml:space="preserve">DENIM  RIGIDO  7048  BLUE </t>
  </si>
  <si>
    <t>DENIM  CONFORT  STARWARD  AZUL</t>
  </si>
  <si>
    <t>DENIM  CONFORT  8828  BLUE</t>
  </si>
  <si>
    <t>DENIM  CONFORT  8822  BLUE</t>
  </si>
  <si>
    <t>DENIM  STRECH  8008  BLUE</t>
  </si>
  <si>
    <t>DENIM  STRECH  DELUXE JADE BLUE</t>
  </si>
  <si>
    <t>DENIM  STRECH  8312  AZUL</t>
  </si>
  <si>
    <t>DENIM  STRECH  ROSE  BLUE</t>
  </si>
  <si>
    <t>PAPER  TOUCH  1560  CRUDO</t>
  </si>
  <si>
    <t>RIGIDO  CRUDO  3939</t>
  </si>
  <si>
    <t>DENIM  CONFORT  7735  BLUE</t>
  </si>
  <si>
    <t>DENIM  RIGIDO  3560  BLUE</t>
  </si>
  <si>
    <t>DENIM  RIGIDO  7741  BLUE</t>
  </si>
  <si>
    <t>DENIM  RIGIDO  M76B15  AZUL</t>
  </si>
  <si>
    <t>DENIM  CONFORT  5019  BLACK</t>
  </si>
  <si>
    <t>DENIM  CONFORT  7483   BLACK</t>
  </si>
  <si>
    <t>DENIM  RIGIDO  7025  BLUE</t>
  </si>
  <si>
    <t>DENIM  RIGIDO  7027  BLUE</t>
  </si>
  <si>
    <t>DENIM  RIGIDO  7483  BLACK</t>
  </si>
  <si>
    <t>DENIM  DIGIDO  TRAKTOR   AZUL</t>
  </si>
  <si>
    <t>Denim  Confort 4055  Blue</t>
  </si>
  <si>
    <t>Denim  Rigido  7382  Blue</t>
  </si>
  <si>
    <t>Denim  Confort Bora  Black</t>
  </si>
  <si>
    <t>Denim  Confort Bora  Azul</t>
  </si>
  <si>
    <t>Denim  Confort 8715  Blue</t>
  </si>
  <si>
    <t>Denim  Confort 8715  Black</t>
  </si>
  <si>
    <t>Denim  Confort 3823 Forte  Blue</t>
  </si>
  <si>
    <t>Denim  Rigido  7388  Blue</t>
  </si>
  <si>
    <t>Denim  Rigido  7388  Black</t>
  </si>
  <si>
    <t>Denim  Rigido  Broker  Azul</t>
  </si>
  <si>
    <t>Denim  Confort Java  Azul</t>
  </si>
  <si>
    <t>Denim  Confort Java  Black</t>
  </si>
  <si>
    <t>Denim  Rigido  3560  Black</t>
  </si>
  <si>
    <t>Denim  Rigido  3560  Blue</t>
  </si>
  <si>
    <t>Denim  Rigido  5422  Black</t>
  </si>
  <si>
    <t>Denim  Confort Confy  Azul</t>
  </si>
  <si>
    <t>Denim  Confort 7492  Azul</t>
  </si>
  <si>
    <t>Denim  Rigido  7048  Blue</t>
  </si>
  <si>
    <t>Denim  Confort Starward  Azul</t>
  </si>
  <si>
    <t>Denim  Confort 8828  Blue</t>
  </si>
  <si>
    <t>Denim  Confort 8822  Blue</t>
  </si>
  <si>
    <t>Denim  Strech  8008  Blue</t>
  </si>
  <si>
    <t>Denim  Strech  8312  Azul</t>
  </si>
  <si>
    <t>Denim  Strech  Rose  Blue</t>
  </si>
  <si>
    <t>Rigido  Crudo  3939</t>
  </si>
  <si>
    <t>Denim  Confort 7735  Blue</t>
  </si>
  <si>
    <t>Denim  Rigido  7741  Blue</t>
  </si>
  <si>
    <t>Denim  Rigido  15  Azul</t>
  </si>
  <si>
    <t>Denim  Confort 5019  Black</t>
  </si>
  <si>
    <t>Denim  Confort 7483   Black</t>
  </si>
  <si>
    <t>Denim  Rigido  7025  Blue</t>
  </si>
  <si>
    <t>Denim  Rigido  7027  Blue</t>
  </si>
  <si>
    <t>Denim  Rigido  7483  Black</t>
  </si>
  <si>
    <t>Denim  Digido  Traktor   Azul</t>
  </si>
  <si>
    <t>Paper  Touch  1560  Crudo</t>
  </si>
  <si>
    <t>Denim  Strech  Deluxe  Jade Blue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</si>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</sst>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i/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8EA9C9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FFF3B0"/>
        <bgColor rgb="FFEFEFEF"/>
      </patternFill>
    </fill>
    <fill>
      <patternFill patternType="solid">
        <fgColor rgb="FFEFEFEF"/>
        <bgColor rgb="FFF5F7FA"/>
      </patternFill>
    </fill>
    <fill>
      <patternFill patternType="solid">
        <fgColor rgb="FF3D5A80"/>
        <bgColor rgb="FF595959"/>
      </patternFill>
    </fill>
    <fill>
      <patternFill patternType="solid">
        <fgColor rgb="FFF5F7FA"/>
        <bgColor rgb="FFEFEFEF"/>
      </patternFill>
    </fill>
  </fills>
  <borders count="3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2" fontId="6" fillId="5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8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8EA9C9"/>
      <rgbColor rgb="FF993366"/>
      <rgbColor rgb="FFF5F7FA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D5A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VIOS_DE_ACABADOS_PRINCIPALES" displayName="T_AVIOS_DE_ACABADOS_PRINCIPALES" ref="B57:B68" totalsRowShown="0">
  <tableColumns count="1">
    <tableColumn id="1" xr3:uid="{00000000-0010-0000-0000-000001000000}" name="SUBCATEGOR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VIOS_DE_ACABADOS_SECUNDARIOS" displayName="T_AVIOS_DE_ACABADOS_SECUNDARIOS" ref="B76:B81" totalsRowShown="0">
  <tableColumns count="1">
    <tableColumn id="1" xr3:uid="{00000000-0010-0000-0100-000001000000}" name="SUBCATEGORI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AVIOS_DE_CONFECCION" displayName="T_AVIOS_DE_CONFECCION" ref="B45:B52" totalsRowShown="0">
  <tableColumns count="1">
    <tableColumn id="1" xr3:uid="{00000000-0010-0000-0200-000001000000}" name="SUBCATEGOR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HILOS" displayName="T_HILOS" ref="B36:B37" totalsRowShown="0">
  <tableColumns count="1">
    <tableColumn id="1" xr3:uid="{00000000-0010-0000-0300-000001000000}" name="SUBCATEGORI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TELAS" displayName="T_TELAS" ref="B27:B30" totalsRowShown="0">
  <tableColumns count="1">
    <tableColumn id="1" xr3:uid="{00000000-0010-0000-0400-000001000000}" name="SUBCATEGORI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LM" displayName="TALM" ref="B196:D222" totalsRowShown="0">
  <tableColumns count="3">
    <tableColumn id="1" xr3:uid="{00000000-0010-0000-0500-000001000000}" name="CODIGO"/>
    <tableColumn id="2" xr3:uid="{00000000-0010-0000-0500-000002000000}" name="NOMBRE"/>
    <tableColumn id="3" xr3:uid="{00000000-0010-0000-0500-000003000000}" name="SED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TR" displayName="TATR" ref="B158:B164" totalsRowShown="0">
  <tableColumns count="1">
    <tableColumn id="1" xr3:uid="{00000000-0010-0000-0600-000001000000}" name="ATRIBUTO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CAT" displayName="TCAT" ref="B9:D14" totalsRowShown="0">
  <tableColumns count="3">
    <tableColumn id="1" xr3:uid="{00000000-0010-0000-0700-000001000000}" name="CODIGO"/>
    <tableColumn id="2" xr3:uid="{00000000-0010-0000-0700-000002000000}" name="NOMBRE"/>
    <tableColumn id="3" xr3:uid="{00000000-0010-0000-0700-000003000000}" name="CV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CB" displayName="TCB" ref="B171:B176" totalsRowShown="0">
  <tableColumns count="1">
    <tableColumn id="1" xr3:uid="{00000000-0010-0000-0800-000001000000}" name="TIP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CTRL" displayName="TCTRL" ref="B120:B123" totalsRowShown="0">
  <tableColumns count="1">
    <tableColumn id="1" xr3:uid="{00000000-0010-0000-0900-000001000000}" name="CONTROL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ST" displayName="TEST" ref="B140:B142" totalsRowShown="0">
  <tableColumns count="1">
    <tableColumn id="1" xr3:uid="{00000000-0010-0000-0A00-000001000000}" name="ESTAD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IGV" displayName="TIGV" ref="B130:B133" totalsRowShown="0">
  <tableColumns count="1">
    <tableColumn id="1" xr3:uid="{00000000-0010-0000-0B00-000001000000}" name="AFECTACIO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SINO" displayName="TSINO" ref="B149:B151" totalsRowShown="0">
  <tableColumns count="1">
    <tableColumn id="1" xr3:uid="{00000000-0010-0000-0C00-000001000000}" name="VALOR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UM" displayName="TUM" ref="B90:B102" totalsRowShown="0">
  <tableColumns count="1">
    <tableColumn id="1" xr3:uid="{00000000-0010-0000-0D00-000001000000}" name="UNID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2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8" customWidth="1"/>
    <col min="3" max="3" width="105" customWidth="1"/>
  </cols>
  <sheetData>
    <row r="1" spans="2:3" ht="16.5" x14ac:dyDescent="0.25">
      <c r="B1" s="22" t="s">
        <v>0</v>
      </c>
      <c r="C1" s="22"/>
    </row>
    <row r="3" spans="2:3" x14ac:dyDescent="0.25">
      <c r="C3" s="1" t="s">
        <v>1</v>
      </c>
    </row>
    <row r="4" spans="2:3" x14ac:dyDescent="0.25">
      <c r="B4" s="2"/>
      <c r="C4" s="3" t="s">
        <v>2</v>
      </c>
    </row>
    <row r="5" spans="2:3" x14ac:dyDescent="0.25">
      <c r="B5" s="4"/>
      <c r="C5" s="3" t="s">
        <v>3</v>
      </c>
    </row>
    <row r="6" spans="2:3" x14ac:dyDescent="0.25">
      <c r="B6" s="5"/>
      <c r="C6" s="3" t="s">
        <v>4</v>
      </c>
    </row>
    <row r="7" spans="2:3" x14ac:dyDescent="0.25">
      <c r="B7" s="6"/>
      <c r="C7" s="3" t="s">
        <v>5</v>
      </c>
    </row>
    <row r="9" spans="2:3" x14ac:dyDescent="0.25">
      <c r="C9" s="1" t="s">
        <v>6</v>
      </c>
    </row>
    <row r="10" spans="2:3" x14ac:dyDescent="0.25">
      <c r="C10" s="7" t="s">
        <v>7</v>
      </c>
    </row>
    <row r="11" spans="2:3" ht="25.5" x14ac:dyDescent="0.25">
      <c r="C11" s="7" t="s">
        <v>8</v>
      </c>
    </row>
    <row r="12" spans="2:3" ht="25.5" x14ac:dyDescent="0.25">
      <c r="C12" s="7" t="s">
        <v>9</v>
      </c>
    </row>
    <row r="14" spans="2:3" x14ac:dyDescent="0.25">
      <c r="C14" s="1" t="s">
        <v>10</v>
      </c>
    </row>
    <row r="15" spans="2:3" ht="25.5" x14ac:dyDescent="0.25">
      <c r="C15" s="7" t="s">
        <v>11</v>
      </c>
    </row>
    <row r="16" spans="2:3" x14ac:dyDescent="0.25">
      <c r="C16" s="7" t="s">
        <v>12</v>
      </c>
    </row>
    <row r="18" spans="3:3" x14ac:dyDescent="0.25">
      <c r="C18" s="1" t="s">
        <v>13</v>
      </c>
    </row>
    <row r="19" spans="3:3" x14ac:dyDescent="0.25">
      <c r="C19" s="7" t="s">
        <v>14</v>
      </c>
    </row>
    <row r="20" spans="3:3" x14ac:dyDescent="0.25">
      <c r="C20" s="7" t="s">
        <v>15</v>
      </c>
    </row>
    <row r="21" spans="3:3" ht="25.5" x14ac:dyDescent="0.25">
      <c r="C21" s="7" t="s">
        <v>16</v>
      </c>
    </row>
    <row r="22" spans="3:3" x14ac:dyDescent="0.25">
      <c r="C22" s="7" t="s">
        <v>17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3"/>
  <sheetViews>
    <sheetView showGridLines="0" tabSelected="1" zoomScaleNormal="100" workbookViewId="0">
      <pane ySplit="1" topLeftCell="A2" activePane="bottomLeft" state="frozen"/>
      <selection pane="bottomLeft" activeCell="F12" sqref="F12"/>
    </sheetView>
  </sheetViews>
  <sheetFormatPr baseColWidth="10" defaultColWidth="8.7109375" defaultRowHeight="15" x14ac:dyDescent="0.25"/>
  <cols>
    <col min="1" max="1" width="13" customWidth="1"/>
    <col min="2" max="2" width="18" customWidth="1"/>
    <col min="3" max="3" width="26" customWidth="1"/>
    <col min="4" max="4" width="24" customWidth="1"/>
    <col min="5" max="5" width="37.28515625" customWidth="1"/>
    <col min="6" max="6" width="33.7109375" customWidth="1"/>
    <col min="7" max="8" width="15" customWidth="1"/>
    <col min="9" max="10" width="13" customWidth="1"/>
    <col min="11" max="11" width="14" customWidth="1"/>
    <col min="12" max="12" width="12" customWidth="1"/>
    <col min="13" max="13" width="14" customWidth="1"/>
    <col min="14" max="14" width="26" customWidth="1"/>
    <col min="15" max="15" width="14" customWidth="1"/>
    <col min="16" max="16" width="12" customWidth="1"/>
    <col min="17" max="17" width="30" customWidth="1"/>
    <col min="18" max="18" width="11" customWidth="1"/>
  </cols>
  <sheetData>
    <row r="1" spans="1:18" ht="30" customHeight="1" x14ac:dyDescent="0.25">
      <c r="A1" s="8" t="s">
        <v>18</v>
      </c>
      <c r="B1" s="8" t="s">
        <v>19</v>
      </c>
      <c r="C1" s="9" t="s">
        <v>20</v>
      </c>
      <c r="D1" s="9" t="s">
        <v>21</v>
      </c>
      <c r="E1" s="10" t="s">
        <v>22</v>
      </c>
      <c r="F1" s="9" t="s">
        <v>23</v>
      </c>
      <c r="G1" s="10" t="s">
        <v>24</v>
      </c>
      <c r="H1" s="10" t="s">
        <v>25</v>
      </c>
      <c r="I1" s="8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10" t="s">
        <v>34</v>
      </c>
      <c r="R1" s="10" t="s">
        <v>35</v>
      </c>
    </row>
    <row r="2" spans="1:18" x14ac:dyDescent="0.25">
      <c r="A2" s="11" t="str">
        <f>IF(OR($E2="",$G2="",$H2="",$Q2="",$R2=""),"",PREFIJO&amp;TEXT(SUMPRODUCT(($E$2:$E2&lt;&gt;"")*($G$2:$G2&lt;&gt;"")*($H$2:$H2&lt;&gt;"")*($Q$2:$Q2&lt;&gt;"")*($R$2:$R2&lt;&gt;"")),"0000"))</f>
        <v>MP-0001</v>
      </c>
      <c r="B2" s="11" t="str">
        <f t="shared" ref="B2:B4" si="0">IF($A2="","",GRUPO_NOMBRE)</f>
        <v>MATERIA PRIMA</v>
      </c>
      <c r="C2" s="12" t="s">
        <v>68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1" t="str">
        <f t="shared" ref="I2:I39" ca="1" si="1">IF($C2="","",IFERROR(INDEX(CAT_CV,MATCH($C2,CAT_NOMBRE,0)),""))</f>
        <v>CV-02</v>
      </c>
      <c r="J2" s="12" t="s">
        <v>42</v>
      </c>
      <c r="K2" s="13"/>
      <c r="L2" s="12"/>
      <c r="M2" s="13"/>
      <c r="N2" s="12" t="s">
        <v>43</v>
      </c>
      <c r="O2" s="13">
        <v>0.8</v>
      </c>
      <c r="P2" s="12" t="s">
        <v>40</v>
      </c>
      <c r="Q2" s="12" t="s">
        <v>44</v>
      </c>
      <c r="R2" s="12" t="s">
        <v>45</v>
      </c>
    </row>
    <row r="3" spans="1:18" x14ac:dyDescent="0.25">
      <c r="A3" s="11" t="str">
        <f>IF(OR($E3="",$G3="",$H3="",$Q3="",$R3=""),"",PREFIJO&amp;TEXT(SUMPRODUCT(($E$2:$E3&lt;&gt;"")*($G$2:$G3&lt;&gt;"")*($H$2:$H3&lt;&gt;"")*($Q$2:$Q3&lt;&gt;"")*($R$2:$R3&lt;&gt;"")),"0000"))</f>
        <v>MP-0002</v>
      </c>
      <c r="B3" s="11" t="str">
        <f t="shared" si="0"/>
        <v>MATERIA PRIMA</v>
      </c>
      <c r="C3" s="14" t="s">
        <v>36</v>
      </c>
      <c r="D3" s="14" t="s">
        <v>241</v>
      </c>
      <c r="E3" s="14" t="s">
        <v>240</v>
      </c>
      <c r="F3" s="14" t="s">
        <v>215</v>
      </c>
      <c r="G3" s="14" t="s">
        <v>40</v>
      </c>
      <c r="H3" s="14" t="s">
        <v>41</v>
      </c>
      <c r="I3" s="11" t="str">
        <f t="shared" ca="1" si="1"/>
        <v>CV-02</v>
      </c>
      <c r="J3" s="14"/>
      <c r="K3" s="15"/>
      <c r="L3" s="14"/>
      <c r="M3" s="15"/>
      <c r="N3" s="14"/>
      <c r="O3" s="15"/>
      <c r="P3" s="14"/>
      <c r="Q3" s="14" t="s">
        <v>44</v>
      </c>
      <c r="R3" s="14" t="s">
        <v>45</v>
      </c>
    </row>
    <row r="4" spans="1:18" x14ac:dyDescent="0.25">
      <c r="A4" s="11" t="str">
        <f>IF(OR($E4="",$G4="",$H4="",$Q4="",$R4=""),"",PREFIJO&amp;TEXT(SUMPRODUCT(($E$2:$E4&lt;&gt;"")*($G$2:$G4&lt;&gt;"")*($H$2:$H4&lt;&gt;"")*($Q$2:$Q4&lt;&gt;"")*($R$2:$R4&lt;&gt;"")),"0000"))</f>
        <v>MP-0003</v>
      </c>
      <c r="B4" s="11" t="str">
        <f t="shared" si="0"/>
        <v>MATERIA PRIMA</v>
      </c>
      <c r="C4" s="14" t="s">
        <v>36</v>
      </c>
      <c r="D4" s="14" t="s">
        <v>241</v>
      </c>
      <c r="E4" s="14" t="s">
        <v>224</v>
      </c>
      <c r="F4" s="14" t="s">
        <v>215</v>
      </c>
      <c r="G4" s="14" t="s">
        <v>40</v>
      </c>
      <c r="H4" s="14" t="s">
        <v>41</v>
      </c>
      <c r="I4" s="11" t="str">
        <f t="shared" ca="1" si="1"/>
        <v>CV-02</v>
      </c>
      <c r="J4" s="14"/>
      <c r="K4" s="15"/>
      <c r="L4" s="14"/>
      <c r="M4" s="15"/>
      <c r="N4" s="14"/>
      <c r="O4" s="15"/>
      <c r="P4" s="14"/>
      <c r="Q4" s="14" t="s">
        <v>44</v>
      </c>
      <c r="R4" s="14" t="s">
        <v>45</v>
      </c>
    </row>
    <row r="5" spans="1:18" x14ac:dyDescent="0.25">
      <c r="A5" s="11" t="str">
        <f>IF(OR($E5="",$G5="",$H5="",$Q5="",$R5=""),"",PREFIJO&amp;TEXT(SUMPRODUCT(($E$2:$E5&lt;&gt;"")*($G$2:$G5&lt;&gt;"")*($H$2:$H5&lt;&gt;"")*($Q$2:$Q5&lt;&gt;"")*($R$2:$R5&lt;&gt;"")),"0000"))</f>
        <v>MP-0004</v>
      </c>
      <c r="B5" s="11" t="s">
        <v>53</v>
      </c>
      <c r="C5" s="14" t="s">
        <v>36</v>
      </c>
      <c r="D5" s="14" t="s">
        <v>241</v>
      </c>
      <c r="E5" s="14" t="s">
        <v>239</v>
      </c>
      <c r="F5" s="14" t="s">
        <v>216</v>
      </c>
      <c r="G5" s="14" t="s">
        <v>40</v>
      </c>
      <c r="H5" s="14" t="s">
        <v>41</v>
      </c>
      <c r="I5" s="11" t="str">
        <f t="shared" ca="1" si="1"/>
        <v>CV-02</v>
      </c>
      <c r="J5" s="14"/>
      <c r="K5" s="15"/>
      <c r="L5" s="14"/>
      <c r="M5" s="15"/>
      <c r="N5" s="14"/>
      <c r="O5" s="15"/>
      <c r="P5" s="14"/>
      <c r="Q5" s="14" t="s">
        <v>44</v>
      </c>
      <c r="R5" s="14" t="s">
        <v>45</v>
      </c>
    </row>
    <row r="6" spans="1:18" x14ac:dyDescent="0.25">
      <c r="A6" s="11" t="str">
        <f>IF(OR($E6="",$G6="",$H6="",$Q6="",$R6=""),"",PREFIJO&amp;TEXT(SUMPRODUCT(($E$2:$E6&lt;&gt;"")*($G$2:$G6&lt;&gt;"")*($H$2:$H6&lt;&gt;"")*($Q$2:$Q6&lt;&gt;"")*($R$2:$R6&lt;&gt;"")),"0000"))</f>
        <v>MP-0005</v>
      </c>
      <c r="B6" s="11" t="s">
        <v>53</v>
      </c>
      <c r="C6" s="14" t="s">
        <v>36</v>
      </c>
      <c r="D6" s="14" t="s">
        <v>241</v>
      </c>
      <c r="E6" s="14" t="s">
        <v>225</v>
      </c>
      <c r="F6" s="14" t="s">
        <v>217</v>
      </c>
      <c r="G6" s="14" t="s">
        <v>40</v>
      </c>
      <c r="H6" s="14" t="s">
        <v>41</v>
      </c>
      <c r="I6" s="11" t="str">
        <f t="shared" ca="1" si="1"/>
        <v>CV-02</v>
      </c>
      <c r="J6" s="14"/>
      <c r="K6" s="15"/>
      <c r="L6" s="14"/>
      <c r="M6" s="15"/>
      <c r="N6" s="14"/>
      <c r="O6" s="15"/>
      <c r="P6" s="14"/>
      <c r="Q6" s="14" t="s">
        <v>44</v>
      </c>
      <c r="R6" s="14" t="s">
        <v>45</v>
      </c>
    </row>
    <row r="7" spans="1:18" x14ac:dyDescent="0.25">
      <c r="A7" s="11" t="str">
        <f>IF(OR($E7="",$G7="",$H7="",$Q7="",$R7=""),"",PREFIJO&amp;TEXT(SUMPRODUCT(($E$2:$E7&lt;&gt;"")*($G$2:$G7&lt;&gt;"")*($H$2:$H7&lt;&gt;"")*($Q$2:$Q7&lt;&gt;"")*($R$2:$R7&lt;&gt;"")),"0000"))</f>
        <v>MP-0006</v>
      </c>
      <c r="B7" s="11" t="s">
        <v>53</v>
      </c>
      <c r="C7" s="14" t="s">
        <v>36</v>
      </c>
      <c r="D7" s="14" t="s">
        <v>241</v>
      </c>
      <c r="E7" s="14" t="s">
        <v>226</v>
      </c>
      <c r="F7" s="14" t="s">
        <v>218</v>
      </c>
      <c r="G7" s="14" t="s">
        <v>40</v>
      </c>
      <c r="H7" s="14" t="s">
        <v>41</v>
      </c>
      <c r="I7" s="11" t="str">
        <f t="shared" ca="1" si="1"/>
        <v>CV-02</v>
      </c>
      <c r="J7" s="14"/>
      <c r="K7" s="15"/>
      <c r="L7" s="14"/>
      <c r="M7" s="15"/>
      <c r="N7" s="14"/>
      <c r="O7" s="15"/>
      <c r="P7" s="14"/>
      <c r="Q7" s="14" t="s">
        <v>44</v>
      </c>
      <c r="R7" s="14" t="s">
        <v>45</v>
      </c>
    </row>
    <row r="8" spans="1:18" x14ac:dyDescent="0.25">
      <c r="A8" s="11" t="str">
        <f>IF(OR($E8="",$G8="",$H8="",$Q8="",$R8=""),"",PREFIJO&amp;TEXT(SUMPRODUCT(($E$2:$E8&lt;&gt;"")*($G$2:$G8&lt;&gt;"")*($H$2:$H8&lt;&gt;"")*($Q$2:$Q8&lt;&gt;"")*($R$2:$R8&lt;&gt;"")),"0000"))</f>
        <v>MP-0007</v>
      </c>
      <c r="B8" s="11" t="s">
        <v>53</v>
      </c>
      <c r="C8" s="14" t="s">
        <v>36</v>
      </c>
      <c r="D8" s="14" t="s">
        <v>241</v>
      </c>
      <c r="E8" s="14" t="s">
        <v>227</v>
      </c>
      <c r="F8" s="14" t="s">
        <v>219</v>
      </c>
      <c r="G8" s="14" t="s">
        <v>40</v>
      </c>
      <c r="H8" s="14" t="s">
        <v>41</v>
      </c>
      <c r="I8" s="11" t="str">
        <f t="shared" ca="1" si="1"/>
        <v>CV-02</v>
      </c>
      <c r="J8" s="14"/>
      <c r="K8" s="15"/>
      <c r="L8" s="14"/>
      <c r="M8" s="15"/>
      <c r="N8" s="14"/>
      <c r="O8" s="15"/>
      <c r="P8" s="14"/>
      <c r="Q8" s="14" t="s">
        <v>44</v>
      </c>
      <c r="R8" s="14" t="s">
        <v>45</v>
      </c>
    </row>
    <row r="9" spans="1:18" x14ac:dyDescent="0.25">
      <c r="A9" s="11" t="str">
        <f>IF(OR($E9="",$G9="",$H9="",$Q9="",$R9=""),"",PREFIJO&amp;TEXT(SUMPRODUCT(($E$2:$E9&lt;&gt;"")*($G$2:$G9&lt;&gt;"")*($H$2:$H9&lt;&gt;"")*($Q$2:$Q9&lt;&gt;"")*($R$2:$R9&lt;&gt;"")),"0000"))</f>
        <v>MP-0008</v>
      </c>
      <c r="B9" s="11" t="s">
        <v>53</v>
      </c>
      <c r="C9" s="14" t="s">
        <v>36</v>
      </c>
      <c r="D9" s="14" t="s">
        <v>242</v>
      </c>
      <c r="E9" s="14" t="s">
        <v>244</v>
      </c>
      <c r="F9" s="14" t="s">
        <v>270</v>
      </c>
      <c r="G9" s="14" t="s">
        <v>40</v>
      </c>
      <c r="H9" s="14" t="s">
        <v>41</v>
      </c>
      <c r="I9" s="11"/>
      <c r="J9" s="14"/>
      <c r="K9" s="15"/>
      <c r="L9" s="14"/>
      <c r="M9" s="15"/>
      <c r="N9" s="14"/>
      <c r="O9" s="15"/>
      <c r="P9" s="14"/>
      <c r="Q9" s="14" t="s">
        <v>44</v>
      </c>
      <c r="R9" s="14" t="s">
        <v>45</v>
      </c>
    </row>
    <row r="10" spans="1:18" x14ac:dyDescent="0.25">
      <c r="A10" s="11" t="str">
        <f>IF(OR($E10="",$G10="",$H10="",$Q10="",$R10=""),"",PREFIJO&amp;TEXT(SUMPRODUCT(($E$2:$E10&lt;&gt;"")*($G$2:$G10&lt;&gt;"")*($H$2:$H10&lt;&gt;"")*($Q$2:$Q10&lt;&gt;"")*($R$2:$R10&lt;&gt;"")),"0000"))</f>
        <v>MP-0009</v>
      </c>
      <c r="B10" s="11" t="s">
        <v>53</v>
      </c>
      <c r="C10" s="14" t="s">
        <v>36</v>
      </c>
      <c r="D10" s="14" t="s">
        <v>243</v>
      </c>
      <c r="E10" s="14" t="s">
        <v>245</v>
      </c>
      <c r="F10" s="14" t="s">
        <v>271</v>
      </c>
      <c r="G10" s="14" t="s">
        <v>40</v>
      </c>
      <c r="H10" s="14" t="s">
        <v>41</v>
      </c>
      <c r="I10" s="11"/>
      <c r="J10" s="14"/>
      <c r="K10" s="15"/>
      <c r="L10" s="14"/>
      <c r="M10" s="15"/>
      <c r="N10" s="14"/>
      <c r="O10" s="15"/>
      <c r="P10" s="14"/>
      <c r="Q10" s="14" t="s">
        <v>44</v>
      </c>
      <c r="R10" s="14" t="s">
        <v>45</v>
      </c>
    </row>
    <row r="11" spans="1:18" x14ac:dyDescent="0.25">
      <c r="A11" s="11" t="str">
        <f>IF(OR($E11="",$G11="",$H11="",$Q11="",$R11=""),"",PREFIJO&amp;TEXT(SUMPRODUCT(($E$2:$E11&lt;&gt;"")*($G$2:$G11&lt;&gt;"")*($H$2:$H11&lt;&gt;"")*($Q$2:$Q11&lt;&gt;"")*($R$2:$R11&lt;&gt;"")),"0000"))</f>
        <v>MP-0010</v>
      </c>
      <c r="B11" s="11" t="s">
        <v>53</v>
      </c>
      <c r="C11" s="14" t="s">
        <v>36</v>
      </c>
      <c r="D11" s="14" t="s">
        <v>243</v>
      </c>
      <c r="E11" s="14" t="s">
        <v>228</v>
      </c>
      <c r="F11" s="14" t="s">
        <v>220</v>
      </c>
      <c r="G11" s="14" t="s">
        <v>40</v>
      </c>
      <c r="H11" s="14" t="s">
        <v>41</v>
      </c>
      <c r="I11" s="11" t="str">
        <f t="shared" ca="1" si="1"/>
        <v>CV-02</v>
      </c>
      <c r="J11" s="14"/>
      <c r="K11" s="15"/>
      <c r="L11" s="14"/>
      <c r="M11" s="15"/>
      <c r="N11" s="14"/>
      <c r="O11" s="15"/>
      <c r="P11" s="14"/>
      <c r="Q11" s="14" t="s">
        <v>44</v>
      </c>
      <c r="R11" s="14" t="s">
        <v>45</v>
      </c>
    </row>
    <row r="12" spans="1:18" x14ac:dyDescent="0.25">
      <c r="A12" s="11" t="str">
        <f>IF(OR($E12="",$G12="",$H12="",$Q12="",$R12=""),"",PREFIJO&amp;TEXT(SUMPRODUCT(($E$2:$E12&lt;&gt;"")*($G$2:$G12&lt;&gt;"")*($H$2:$H12&lt;&gt;"")*($Q$2:$Q12&lt;&gt;"")*($R$2:$R12&lt;&gt;"")),"0000"))</f>
        <v>MP-0011</v>
      </c>
      <c r="B12" s="11" t="s">
        <v>53</v>
      </c>
      <c r="C12" s="14" t="s">
        <v>36</v>
      </c>
      <c r="D12" s="14" t="s">
        <v>243</v>
      </c>
      <c r="E12" s="14" t="s">
        <v>229</v>
      </c>
      <c r="F12" s="14" t="s">
        <v>221</v>
      </c>
      <c r="G12" s="14" t="s">
        <v>40</v>
      </c>
      <c r="H12" s="14" t="s">
        <v>41</v>
      </c>
      <c r="I12" s="11" t="str">
        <f t="shared" ca="1" si="1"/>
        <v>CV-02</v>
      </c>
      <c r="J12" s="14"/>
      <c r="K12" s="15"/>
      <c r="L12" s="14"/>
      <c r="M12" s="15"/>
      <c r="N12" s="14"/>
      <c r="O12" s="15"/>
      <c r="P12" s="14"/>
      <c r="Q12" s="14" t="s">
        <v>44</v>
      </c>
      <c r="R12" s="14" t="s">
        <v>45</v>
      </c>
    </row>
    <row r="13" spans="1:18" x14ac:dyDescent="0.25">
      <c r="A13" s="11" t="str">
        <f>IF(OR($E13="",$G13="",$H13="",$Q13="",$R13=""),"",PREFIJO&amp;TEXT(SUMPRODUCT(($E$2:$E13&lt;&gt;"")*($G$2:$G13&lt;&gt;"")*($H$2:$H13&lt;&gt;"")*($Q$2:$Q13&lt;&gt;"")*($R$2:$R13&lt;&gt;"")),"0000"))</f>
        <v>MP-0012</v>
      </c>
      <c r="B13" s="11" t="s">
        <v>53</v>
      </c>
      <c r="C13" s="14" t="s">
        <v>36</v>
      </c>
      <c r="D13" s="14" t="s">
        <v>243</v>
      </c>
      <c r="E13" s="14" t="s">
        <v>246</v>
      </c>
      <c r="F13" s="14" t="s">
        <v>272</v>
      </c>
      <c r="G13" s="14" t="s">
        <v>40</v>
      </c>
      <c r="H13" s="14" t="s">
        <v>41</v>
      </c>
      <c r="I13" s="11"/>
      <c r="J13" s="14"/>
      <c r="K13" s="15"/>
      <c r="L13" s="14"/>
      <c r="M13" s="15"/>
      <c r="N13" s="14"/>
      <c r="O13" s="15"/>
      <c r="P13" s="14"/>
      <c r="Q13" s="14" t="s">
        <v>44</v>
      </c>
      <c r="R13" s="14" t="s">
        <v>45</v>
      </c>
    </row>
    <row r="14" spans="1:18" x14ac:dyDescent="0.25">
      <c r="A14" s="11" t="str">
        <f>IF(OR($E14="",$G14="",$H14="",$Q14="",$R14=""),"",PREFIJO&amp;TEXT(SUMPRODUCT(($E$2:$E14&lt;&gt;"")*($G$2:$G14&lt;&gt;"")*($H$2:$H14&lt;&gt;"")*($Q$2:$Q14&lt;&gt;"")*($R$2:$R14&lt;&gt;"")),"0000"))</f>
        <v>MP-0013</v>
      </c>
      <c r="B14" s="11" t="s">
        <v>53</v>
      </c>
      <c r="C14" s="14" t="s">
        <v>36</v>
      </c>
      <c r="D14" s="14" t="s">
        <v>243</v>
      </c>
      <c r="E14" s="14" t="s">
        <v>247</v>
      </c>
      <c r="F14" s="14" t="s">
        <v>273</v>
      </c>
      <c r="G14" s="14" t="s">
        <v>40</v>
      </c>
      <c r="H14" s="14" t="s">
        <v>41</v>
      </c>
      <c r="I14" s="11"/>
      <c r="J14" s="14"/>
      <c r="K14" s="15"/>
      <c r="L14" s="14"/>
      <c r="M14" s="15"/>
      <c r="N14" s="14"/>
      <c r="O14" s="15"/>
      <c r="P14" s="14"/>
      <c r="Q14" s="14" t="s">
        <v>44</v>
      </c>
      <c r="R14" s="14" t="s">
        <v>45</v>
      </c>
    </row>
    <row r="15" spans="1:18" x14ac:dyDescent="0.25">
      <c r="A15" s="11" t="str">
        <f>IF(OR($E15="",$G15="",$H15="",$Q15="",$R15=""),"",PREFIJO&amp;TEXT(SUMPRODUCT(($E$2:$E15&lt;&gt;"")*($G$2:$G15&lt;&gt;"")*($H$2:$H15&lt;&gt;"")*($Q$2:$Q15&lt;&gt;"")*($R$2:$R15&lt;&gt;"")),"0000"))</f>
        <v>MP-0014</v>
      </c>
      <c r="B15" s="11" t="s">
        <v>53</v>
      </c>
      <c r="C15" s="14" t="s">
        <v>36</v>
      </c>
      <c r="D15" s="14" t="s">
        <v>243</v>
      </c>
      <c r="E15" s="14" t="s">
        <v>248</v>
      </c>
      <c r="F15" s="14" t="s">
        <v>274</v>
      </c>
      <c r="G15" s="14" t="s">
        <v>40</v>
      </c>
      <c r="H15" s="14" t="s">
        <v>41</v>
      </c>
      <c r="I15" s="11"/>
      <c r="J15" s="14"/>
      <c r="K15" s="15"/>
      <c r="L15" s="14"/>
      <c r="M15" s="15"/>
      <c r="N15" s="14"/>
      <c r="O15" s="15"/>
      <c r="P15" s="14"/>
      <c r="Q15" s="14" t="s">
        <v>44</v>
      </c>
      <c r="R15" s="14" t="s">
        <v>45</v>
      </c>
    </row>
    <row r="16" spans="1:18" x14ac:dyDescent="0.25">
      <c r="A16" s="11" t="str">
        <f>IF(OR($E16="",$G16="",$H16="",$Q16="",$R16=""),"",PREFIJO&amp;TEXT(SUMPRODUCT(($E$2:$E16&lt;&gt;"")*($G$2:$G16&lt;&gt;"")*($H$2:$H16&lt;&gt;"")*($Q$2:$Q16&lt;&gt;"")*($R$2:$R16&lt;&gt;"")),"0000"))</f>
        <v>MP-0015</v>
      </c>
      <c r="B16" s="11" t="s">
        <v>53</v>
      </c>
      <c r="C16" s="14" t="s">
        <v>36</v>
      </c>
      <c r="D16" s="14" t="s">
        <v>223</v>
      </c>
      <c r="E16" s="14" t="s">
        <v>230</v>
      </c>
      <c r="F16" s="14" t="s">
        <v>275</v>
      </c>
      <c r="G16" s="14" t="s">
        <v>40</v>
      </c>
      <c r="H16" s="14" t="s">
        <v>41</v>
      </c>
      <c r="I16" s="11" t="str">
        <f t="shared" ca="1" si="1"/>
        <v>CV-02</v>
      </c>
      <c r="J16" s="14"/>
      <c r="K16" s="15"/>
      <c r="L16" s="14"/>
      <c r="M16" s="15"/>
      <c r="N16" s="14"/>
      <c r="O16" s="15"/>
      <c r="P16" s="14"/>
      <c r="Q16" s="14" t="s">
        <v>44</v>
      </c>
      <c r="R16" s="14" t="s">
        <v>45</v>
      </c>
    </row>
    <row r="17" spans="1:23" x14ac:dyDescent="0.25">
      <c r="A17" s="11" t="str">
        <f>IF(OR($E17="",$G17="",$H17="",$Q17="",$R17=""),"",PREFIJO&amp;TEXT(SUMPRODUCT(($E$2:$E17&lt;&gt;"")*($G$2:$G17&lt;&gt;"")*($H$2:$H17&lt;&gt;"")*($Q$2:$Q17&lt;&gt;"")*($R$2:$R17&lt;&gt;"")),"0000"))</f>
        <v>MP-0016</v>
      </c>
      <c r="B17" s="11" t="s">
        <v>53</v>
      </c>
      <c r="C17" s="14" t="s">
        <v>36</v>
      </c>
      <c r="D17" s="14" t="s">
        <v>223</v>
      </c>
      <c r="E17" s="14" t="s">
        <v>231</v>
      </c>
      <c r="F17" s="14" t="s">
        <v>276</v>
      </c>
      <c r="G17" s="14" t="s">
        <v>40</v>
      </c>
      <c r="H17" s="14" t="s">
        <v>41</v>
      </c>
      <c r="I17" s="11" t="str">
        <f t="shared" ca="1" si="1"/>
        <v>CV-02</v>
      </c>
      <c r="J17" s="14"/>
      <c r="K17" s="15"/>
      <c r="L17" s="14"/>
      <c r="M17" s="15"/>
      <c r="N17" s="14"/>
      <c r="O17" s="15"/>
      <c r="P17" s="14"/>
      <c r="Q17" s="14" t="s">
        <v>44</v>
      </c>
      <c r="R17" s="14" t="s">
        <v>45</v>
      </c>
    </row>
    <row r="18" spans="1:23" x14ac:dyDescent="0.25">
      <c r="A18" s="11" t="str">
        <f>IF(OR($E18="",$G18="",$H18="",$Q18="",$R18=""),"",PREFIJO&amp;TEXT(SUMPRODUCT(($E$2:$E18&lt;&gt;"")*($G$2:$G18&lt;&gt;"")*($H$2:$H18&lt;&gt;"")*($Q$2:$Q18&lt;&gt;"")*($R$2:$R18&lt;&gt;"")),"0000"))</f>
        <v>MP-0017</v>
      </c>
      <c r="B18" s="11" t="s">
        <v>53</v>
      </c>
      <c r="C18" s="14" t="s">
        <v>36</v>
      </c>
      <c r="D18" s="14" t="s">
        <v>223</v>
      </c>
      <c r="E18" s="14" t="s">
        <v>232</v>
      </c>
      <c r="F18" s="14" t="s">
        <v>277</v>
      </c>
      <c r="G18" s="14" t="s">
        <v>40</v>
      </c>
      <c r="H18" s="14" t="s">
        <v>41</v>
      </c>
      <c r="I18" s="11" t="str">
        <f t="shared" ca="1" si="1"/>
        <v>CV-02</v>
      </c>
      <c r="J18" s="14"/>
      <c r="K18" s="15"/>
      <c r="L18" s="14"/>
      <c r="M18" s="15"/>
      <c r="N18" s="14"/>
      <c r="O18" s="15"/>
      <c r="P18" s="14"/>
      <c r="Q18" s="14" t="s">
        <v>44</v>
      </c>
      <c r="R18" s="14" t="s">
        <v>45</v>
      </c>
    </row>
    <row r="19" spans="1:23" x14ac:dyDescent="0.25">
      <c r="A19" s="11" t="str">
        <f>IF(OR($E19="",$G19="",$H19="",$Q19="",$R19=""),"",PREFIJO&amp;TEXT(SUMPRODUCT(($E$2:$E19&lt;&gt;"")*($G$2:$G19&lt;&gt;"")*($H$2:$H19&lt;&gt;"")*($Q$2:$Q19&lt;&gt;"")*($R$2:$R19&lt;&gt;"")),"0000"))</f>
        <v>MP-0018</v>
      </c>
      <c r="B19" s="11" t="s">
        <v>53</v>
      </c>
      <c r="C19" s="14" t="s">
        <v>36</v>
      </c>
      <c r="D19" s="14" t="s">
        <v>223</v>
      </c>
      <c r="E19" s="14" t="s">
        <v>233</v>
      </c>
      <c r="F19" s="14" t="s">
        <v>278</v>
      </c>
      <c r="G19" s="14" t="s">
        <v>40</v>
      </c>
      <c r="H19" s="14" t="s">
        <v>41</v>
      </c>
      <c r="I19" s="11" t="str">
        <f t="shared" ca="1" si="1"/>
        <v>CV-02</v>
      </c>
      <c r="J19" s="14"/>
      <c r="K19" s="15"/>
      <c r="L19" s="14"/>
      <c r="M19" s="15"/>
      <c r="N19" s="14"/>
      <c r="O19" s="15"/>
      <c r="P19" s="14"/>
      <c r="Q19" s="14" t="s">
        <v>44</v>
      </c>
      <c r="R19" s="14" t="s">
        <v>45</v>
      </c>
    </row>
    <row r="20" spans="1:23" x14ac:dyDescent="0.25">
      <c r="A20" s="11" t="str">
        <f>IF(OR($E20="",$G20="",$H20="",$Q20="",$R20=""),"",PREFIJO&amp;TEXT(SUMPRODUCT(($E$2:$E20&lt;&gt;"")*($G$2:$G20&lt;&gt;"")*($H$2:$H20&lt;&gt;"")*($Q$2:$Q20&lt;&gt;"")*($R$2:$R20&lt;&gt;"")),"0000"))</f>
        <v>MP-0019</v>
      </c>
      <c r="B20" s="11" t="s">
        <v>53</v>
      </c>
      <c r="C20" s="14" t="s">
        <v>36</v>
      </c>
      <c r="D20" s="14" t="s">
        <v>223</v>
      </c>
      <c r="E20" s="14" t="s">
        <v>234</v>
      </c>
      <c r="F20" s="14" t="s">
        <v>279</v>
      </c>
      <c r="G20" s="14" t="s">
        <v>40</v>
      </c>
      <c r="H20" s="14" t="s">
        <v>41</v>
      </c>
      <c r="I20" s="11" t="str">
        <f t="shared" ca="1" si="1"/>
        <v>CV-02</v>
      </c>
      <c r="J20" s="14"/>
      <c r="K20" s="15"/>
      <c r="L20" s="14"/>
      <c r="M20" s="15"/>
      <c r="N20" s="14"/>
      <c r="O20" s="15"/>
      <c r="P20" s="14"/>
      <c r="Q20" s="14" t="s">
        <v>44</v>
      </c>
      <c r="R20" s="14" t="s">
        <v>45</v>
      </c>
      <c r="T20" s="19" t="s">
        <v>213</v>
      </c>
      <c r="U20" s="20">
        <v>10</v>
      </c>
      <c r="V20" s="21" t="s">
        <v>214</v>
      </c>
      <c r="W20" s="20" t="str">
        <f t="shared" ref="W20:W21" si="2">CONCATENATE(T20," ",U20," ",V20," ")</f>
        <v xml:space="preserve">YKK 10 AZUL </v>
      </c>
    </row>
    <row r="21" spans="1:23" x14ac:dyDescent="0.25">
      <c r="A21" s="11" t="str">
        <f>IF(OR($E21="",$G21="",$H21="",$Q21="",$R21=""),"",PREFIJO&amp;TEXT(SUMPRODUCT(($E$2:$E21&lt;&gt;"")*($G$2:$G21&lt;&gt;"")*($H$2:$H21&lt;&gt;"")*($Q$2:$Q21&lt;&gt;"")*($R$2:$R21&lt;&gt;"")),"0000"))</f>
        <v>MP-0020</v>
      </c>
      <c r="B21" s="11" t="s">
        <v>53</v>
      </c>
      <c r="C21" s="14" t="s">
        <v>36</v>
      </c>
      <c r="D21" s="14" t="s">
        <v>223</v>
      </c>
      <c r="E21" s="14" t="s">
        <v>235</v>
      </c>
      <c r="F21" s="14" t="s">
        <v>280</v>
      </c>
      <c r="G21" s="14" t="s">
        <v>40</v>
      </c>
      <c r="H21" s="14" t="s">
        <v>41</v>
      </c>
      <c r="I21" s="11" t="str">
        <f t="shared" ca="1" si="1"/>
        <v>CV-02</v>
      </c>
      <c r="J21" s="14"/>
      <c r="K21" s="15"/>
      <c r="L21" s="14"/>
      <c r="M21" s="15"/>
      <c r="N21" s="14"/>
      <c r="O21" s="15"/>
      <c r="P21" s="14"/>
      <c r="Q21" s="14" t="s">
        <v>44</v>
      </c>
      <c r="R21" s="14" t="s">
        <v>45</v>
      </c>
      <c r="T21" s="19" t="s">
        <v>213</v>
      </c>
      <c r="U21" s="20">
        <v>12</v>
      </c>
      <c r="V21" s="21" t="s">
        <v>214</v>
      </c>
      <c r="W21" s="20" t="str">
        <f t="shared" si="2"/>
        <v xml:space="preserve">YKK 12 AZUL </v>
      </c>
    </row>
    <row r="22" spans="1:23" x14ac:dyDescent="0.25">
      <c r="A22" s="11" t="str">
        <f>IF(OR($E22="",$G22="",$H22="",$Q22="",$R22=""),"",PREFIJO&amp;TEXT(SUMPRODUCT(($E$2:$E22&lt;&gt;"")*($G$2:$G22&lt;&gt;"")*($H$2:$H22&lt;&gt;"")*($Q$2:$Q22&lt;&gt;"")*($R$2:$R22&lt;&gt;"")),"0000"))</f>
        <v>MP-0021</v>
      </c>
      <c r="B22" s="11" t="s">
        <v>53</v>
      </c>
      <c r="C22" s="14" t="s">
        <v>36</v>
      </c>
      <c r="D22" s="14" t="s">
        <v>223</v>
      </c>
      <c r="E22" s="14" t="s">
        <v>236</v>
      </c>
      <c r="F22" s="14" t="s">
        <v>281</v>
      </c>
      <c r="G22" s="14" t="s">
        <v>40</v>
      </c>
      <c r="H22" s="14" t="s">
        <v>41</v>
      </c>
      <c r="I22" s="11" t="str">
        <f t="shared" ca="1" si="1"/>
        <v>CV-02</v>
      </c>
      <c r="J22" s="14"/>
      <c r="K22" s="15"/>
      <c r="L22" s="14"/>
      <c r="M22" s="15"/>
      <c r="N22" s="14"/>
      <c r="O22" s="15"/>
      <c r="P22" s="14"/>
      <c r="Q22" s="14" t="s">
        <v>44</v>
      </c>
      <c r="R22" s="14" t="s">
        <v>45</v>
      </c>
    </row>
    <row r="23" spans="1:23" x14ac:dyDescent="0.25">
      <c r="A23" s="11" t="str">
        <f>IF(OR($E23="",$G23="",$H23="",$Q23="",$R23=""),"",PREFIJO&amp;TEXT(SUMPRODUCT(($E$2:$E23&lt;&gt;"")*($G$2:$G23&lt;&gt;"")*($H$2:$H23&lt;&gt;"")*($Q$2:$Q23&lt;&gt;"")*($R$2:$R23&lt;&gt;"")),"0000"))</f>
        <v>MP-0022</v>
      </c>
      <c r="B23" s="11" t="s">
        <v>53</v>
      </c>
      <c r="C23" s="14" t="s">
        <v>36</v>
      </c>
      <c r="D23" s="14" t="s">
        <v>223</v>
      </c>
      <c r="E23" s="14" t="s">
        <v>237</v>
      </c>
      <c r="F23" s="14" t="s">
        <v>282</v>
      </c>
      <c r="G23" s="14" t="s">
        <v>40</v>
      </c>
      <c r="H23" s="14" t="s">
        <v>41</v>
      </c>
      <c r="I23" s="11" t="str">
        <f t="shared" ca="1" si="1"/>
        <v>CV-02</v>
      </c>
      <c r="J23" s="14"/>
      <c r="K23" s="15"/>
      <c r="L23" s="14"/>
      <c r="M23" s="15"/>
      <c r="N23" s="14"/>
      <c r="O23" s="15"/>
      <c r="P23" s="14"/>
      <c r="Q23" s="14" t="s">
        <v>44</v>
      </c>
      <c r="R23" s="14" t="s">
        <v>45</v>
      </c>
    </row>
    <row r="24" spans="1:23" x14ac:dyDescent="0.25">
      <c r="A24" s="11" t="str">
        <f>IF(OR($E24="",$G24="",$H24="",$Q24="",$R24=""),"",PREFIJO&amp;TEXT(SUMPRODUCT(($E$2:$E24&lt;&gt;"")*($G$2:$G24&lt;&gt;"")*($H$2:$H24&lt;&gt;"")*($Q$2:$Q24&lt;&gt;"")*($R$2:$R24&lt;&gt;"")),"0000"))</f>
        <v>MP-0023</v>
      </c>
      <c r="B24" s="11" t="s">
        <v>53</v>
      </c>
      <c r="C24" s="14" t="s">
        <v>36</v>
      </c>
      <c r="D24" s="14" t="s">
        <v>223</v>
      </c>
      <c r="E24" s="14" t="s">
        <v>238</v>
      </c>
      <c r="F24" s="14" t="s">
        <v>283</v>
      </c>
      <c r="G24" s="14" t="s">
        <v>40</v>
      </c>
      <c r="H24" s="14" t="s">
        <v>41</v>
      </c>
      <c r="I24" s="11" t="str">
        <f t="shared" ca="1" si="1"/>
        <v>CV-02</v>
      </c>
      <c r="J24" s="14"/>
      <c r="K24" s="15"/>
      <c r="L24" s="14"/>
      <c r="M24" s="15"/>
      <c r="N24" s="14"/>
      <c r="O24" s="15"/>
      <c r="P24" s="14"/>
      <c r="Q24" s="14" t="s">
        <v>44</v>
      </c>
      <c r="R24" s="14" t="s">
        <v>45</v>
      </c>
    </row>
    <row r="25" spans="1:23" x14ac:dyDescent="0.25">
      <c r="A25" s="11" t="str">
        <f>IF(OR($E25="",$G25="",$H25="",$Q25="",$R25=""),"",PREFIJO&amp;TEXT(SUMPRODUCT(($E$2:$E25&lt;&gt;"")*($G$2:$G25&lt;&gt;"")*($H$2:$H25&lt;&gt;"")*($Q$2:$Q25&lt;&gt;"")*($R$2:$R25&lt;&gt;"")),"0000"))</f>
        <v>MP-0024</v>
      </c>
      <c r="B25" s="11" t="s">
        <v>53</v>
      </c>
      <c r="C25" s="14" t="s">
        <v>36</v>
      </c>
      <c r="D25" s="14" t="s">
        <v>249</v>
      </c>
      <c r="E25" s="14" t="s">
        <v>250</v>
      </c>
      <c r="F25" s="14" t="s">
        <v>284</v>
      </c>
      <c r="G25" s="14" t="s">
        <v>40</v>
      </c>
      <c r="H25" s="14" t="s">
        <v>41</v>
      </c>
      <c r="I25" s="11" t="str">
        <f t="shared" ca="1" si="1"/>
        <v>CV-02</v>
      </c>
      <c r="J25" s="14"/>
      <c r="K25" s="15"/>
      <c r="L25" s="14"/>
      <c r="M25" s="15"/>
      <c r="N25" s="14"/>
      <c r="O25" s="15"/>
      <c r="P25" s="14"/>
      <c r="Q25" s="14" t="s">
        <v>44</v>
      </c>
      <c r="R25" s="14" t="s">
        <v>45</v>
      </c>
    </row>
    <row r="26" spans="1:23" x14ac:dyDescent="0.25">
      <c r="A26" s="11" t="str">
        <f>IF(OR($E26="",$G26="",$H26="",$Q26="",$R26=""),"",PREFIJO&amp;TEXT(SUMPRODUCT(($E$2:$E26&lt;&gt;"")*($G$2:$G26&lt;&gt;"")*($H$2:$H26&lt;&gt;"")*($Q$2:$Q26&lt;&gt;"")*($R$2:$R26&lt;&gt;"")),"0000"))</f>
        <v>MP-0025</v>
      </c>
      <c r="B26" s="11" t="s">
        <v>53</v>
      </c>
      <c r="C26" s="14" t="s">
        <v>36</v>
      </c>
      <c r="D26" s="14" t="s">
        <v>249</v>
      </c>
      <c r="E26" s="14" t="s">
        <v>253</v>
      </c>
      <c r="F26" s="14" t="s">
        <v>285</v>
      </c>
      <c r="G26" s="14" t="s">
        <v>40</v>
      </c>
      <c r="H26" s="14" t="s">
        <v>41</v>
      </c>
      <c r="I26" s="11" t="str">
        <f t="shared" ca="1" si="1"/>
        <v>CV-02</v>
      </c>
      <c r="J26" s="14"/>
      <c r="K26" s="15"/>
      <c r="L26" s="14"/>
      <c r="M26" s="15"/>
      <c r="N26" s="14"/>
      <c r="O26" s="15"/>
      <c r="P26" s="14"/>
      <c r="Q26" s="14" t="s">
        <v>44</v>
      </c>
      <c r="R26" s="14" t="s">
        <v>45</v>
      </c>
    </row>
    <row r="27" spans="1:23" x14ac:dyDescent="0.25">
      <c r="A27" s="11" t="str">
        <f>IF(OR($E27="",$G27="",$H27="",$Q27="",$R27=""),"",PREFIJO&amp;TEXT(SUMPRODUCT(($E$2:$E27&lt;&gt;"")*($G$2:$G27&lt;&gt;"")*($H$2:$H27&lt;&gt;"")*($Q$2:$Q27&lt;&gt;"")*($R$2:$R27&lt;&gt;"")),"0000"))</f>
        <v>MP-0026</v>
      </c>
      <c r="B27" s="11" t="s">
        <v>53</v>
      </c>
      <c r="C27" s="14" t="s">
        <v>36</v>
      </c>
      <c r="D27" s="14" t="s">
        <v>249</v>
      </c>
      <c r="E27" s="14" t="s">
        <v>254</v>
      </c>
      <c r="F27" s="14" t="s">
        <v>286</v>
      </c>
      <c r="G27" s="14" t="s">
        <v>40</v>
      </c>
      <c r="H27" s="14" t="s">
        <v>41</v>
      </c>
      <c r="I27" s="11" t="str">
        <f t="shared" ca="1" si="1"/>
        <v>CV-02</v>
      </c>
      <c r="J27" s="14"/>
      <c r="K27" s="15"/>
      <c r="L27" s="14"/>
      <c r="M27" s="15"/>
      <c r="N27" s="14"/>
      <c r="O27" s="15"/>
      <c r="P27" s="14"/>
      <c r="Q27" s="14" t="s">
        <v>44</v>
      </c>
      <c r="R27" s="14" t="s">
        <v>45</v>
      </c>
    </row>
    <row r="28" spans="1:23" x14ac:dyDescent="0.25">
      <c r="A28" s="11" t="str">
        <f>IF(OR($E28="",$G28="",$H28="",$Q28="",$R28=""),"",PREFIJO&amp;TEXT(SUMPRODUCT(($E$2:$E28&lt;&gt;"")*($G$2:$G28&lt;&gt;"")*($H$2:$H28&lt;&gt;"")*($Q$2:$Q28&lt;&gt;"")*($R$2:$R28&lt;&gt;"")),"0000"))</f>
        <v>MP-0027</v>
      </c>
      <c r="B28" s="11" t="s">
        <v>53</v>
      </c>
      <c r="C28" s="14" t="s">
        <v>36</v>
      </c>
      <c r="D28" s="14" t="s">
        <v>249</v>
      </c>
      <c r="E28" s="14" t="s">
        <v>255</v>
      </c>
      <c r="F28" s="14" t="s">
        <v>287</v>
      </c>
      <c r="G28" s="14" t="s">
        <v>40</v>
      </c>
      <c r="H28" s="14" t="s">
        <v>41</v>
      </c>
      <c r="I28" s="11" t="str">
        <f t="shared" ca="1" si="1"/>
        <v>CV-02</v>
      </c>
      <c r="J28" s="14"/>
      <c r="K28" s="15"/>
      <c r="L28" s="14"/>
      <c r="M28" s="15"/>
      <c r="N28" s="14"/>
      <c r="O28" s="15"/>
      <c r="P28" s="14"/>
      <c r="Q28" s="14" t="s">
        <v>44</v>
      </c>
      <c r="R28" s="14" t="s">
        <v>45</v>
      </c>
    </row>
    <row r="29" spans="1:23" x14ac:dyDescent="0.25">
      <c r="A29" s="11" t="str">
        <f>IF(OR($E29="",$G29="",$H29="",$Q29="",$R29=""),"",PREFIJO&amp;TEXT(SUMPRODUCT(($E$2:$E29&lt;&gt;"")*($G$2:$G29&lt;&gt;"")*($H$2:$H29&lt;&gt;"")*($Q$2:$Q29&lt;&gt;"")*($R$2:$R29&lt;&gt;"")),"0000"))</f>
        <v>MP-0028</v>
      </c>
      <c r="B29" s="11" t="s">
        <v>53</v>
      </c>
      <c r="C29" s="14" t="s">
        <v>36</v>
      </c>
      <c r="D29" s="14" t="s">
        <v>269</v>
      </c>
      <c r="E29" s="14" t="s">
        <v>256</v>
      </c>
      <c r="F29" s="14" t="s">
        <v>288</v>
      </c>
      <c r="G29" s="14" t="s">
        <v>40</v>
      </c>
      <c r="H29" s="14" t="s">
        <v>41</v>
      </c>
      <c r="I29" s="11" t="str">
        <f t="shared" ca="1" si="1"/>
        <v>CV-02</v>
      </c>
      <c r="J29" s="14"/>
      <c r="K29" s="15"/>
      <c r="L29" s="14"/>
      <c r="M29" s="15"/>
      <c r="N29" s="14"/>
      <c r="O29" s="15"/>
      <c r="P29" s="14"/>
      <c r="Q29" s="14" t="s">
        <v>44</v>
      </c>
      <c r="R29" s="14" t="s">
        <v>45</v>
      </c>
    </row>
    <row r="30" spans="1:23" x14ac:dyDescent="0.25">
      <c r="A30" s="11" t="str">
        <f>IF(OR($E30="",$G30="",$H30="",$Q30="",$R30=""),"",PREFIJO&amp;TEXT(SUMPRODUCT(($E$2:$E30&lt;&gt;"")*($G$2:$G30&lt;&gt;"")*($H$2:$H30&lt;&gt;"")*($Q$2:$Q30&lt;&gt;"")*($R$2:$R30&lt;&gt;"")),"0000"))</f>
        <v>MP-0029</v>
      </c>
      <c r="B30" s="11" t="s">
        <v>53</v>
      </c>
      <c r="C30" s="14" t="s">
        <v>36</v>
      </c>
      <c r="D30" s="14" t="s">
        <v>269</v>
      </c>
      <c r="E30" s="14" t="s">
        <v>257</v>
      </c>
      <c r="F30" s="14" t="s">
        <v>289</v>
      </c>
      <c r="G30" s="14" t="s">
        <v>40</v>
      </c>
      <c r="H30" s="14" t="s">
        <v>41</v>
      </c>
      <c r="I30" s="11" t="str">
        <f t="shared" ca="1" si="1"/>
        <v>CV-02</v>
      </c>
      <c r="J30" s="14"/>
      <c r="K30" s="15"/>
      <c r="L30" s="14"/>
      <c r="M30" s="15"/>
      <c r="N30" s="14"/>
      <c r="O30" s="15"/>
      <c r="P30" s="14"/>
      <c r="Q30" s="14" t="s">
        <v>44</v>
      </c>
      <c r="R30" s="14" t="s">
        <v>45</v>
      </c>
    </row>
    <row r="31" spans="1:23" x14ac:dyDescent="0.25">
      <c r="A31" s="11" t="str">
        <f>IF(OR($E31="",$G31="",$H31="",$Q31="",$R31=""),"",PREFIJO&amp;TEXT(SUMPRODUCT(($E$2:$E31&lt;&gt;"")*($G$2:$G31&lt;&gt;"")*($H$2:$H31&lt;&gt;"")*($Q$2:$Q31&lt;&gt;"")*($R$2:$R31&lt;&gt;"")),"0000"))</f>
        <v>MP-0030</v>
      </c>
      <c r="B31" s="11" t="s">
        <v>53</v>
      </c>
      <c r="C31" s="14" t="s">
        <v>36</v>
      </c>
      <c r="D31" s="14" t="s">
        <v>269</v>
      </c>
      <c r="E31" s="14" t="s">
        <v>258</v>
      </c>
      <c r="F31" s="14" t="s">
        <v>290</v>
      </c>
      <c r="G31" s="14" t="s">
        <v>40</v>
      </c>
      <c r="H31" s="14" t="s">
        <v>41</v>
      </c>
      <c r="I31" s="11" t="str">
        <f t="shared" ca="1" si="1"/>
        <v>CV-02</v>
      </c>
      <c r="J31" s="14"/>
      <c r="K31" s="15"/>
      <c r="L31" s="14"/>
      <c r="M31" s="15"/>
      <c r="N31" s="14"/>
      <c r="O31" s="15"/>
      <c r="P31" s="14"/>
      <c r="Q31" s="14" t="s">
        <v>44</v>
      </c>
      <c r="R31" s="14" t="s">
        <v>45</v>
      </c>
    </row>
    <row r="32" spans="1:23" x14ac:dyDescent="0.25">
      <c r="A32" s="11" t="str">
        <f>IF(OR($E32="",$G32="",$H32="",$Q32="",$R32=""),"",PREFIJO&amp;TEXT(SUMPRODUCT(($E$2:$E32&lt;&gt;"")*($G$2:$G32&lt;&gt;"")*($H$2:$H32&lt;&gt;"")*($Q$2:$Q32&lt;&gt;"")*($R$2:$R32&lt;&gt;"")),"0000"))</f>
        <v>MP-0031</v>
      </c>
      <c r="B32" s="11" t="s">
        <v>53</v>
      </c>
      <c r="C32" s="14" t="s">
        <v>36</v>
      </c>
      <c r="D32" s="14" t="s">
        <v>269</v>
      </c>
      <c r="E32" s="14" t="s">
        <v>259</v>
      </c>
      <c r="F32" s="14" t="s">
        <v>291</v>
      </c>
      <c r="G32" s="14" t="s">
        <v>40</v>
      </c>
      <c r="H32" s="14" t="s">
        <v>41</v>
      </c>
      <c r="I32" s="11" t="str">
        <f t="shared" ca="1" si="1"/>
        <v>CV-02</v>
      </c>
      <c r="J32" s="14"/>
      <c r="K32" s="15"/>
      <c r="L32" s="14"/>
      <c r="M32" s="15"/>
      <c r="N32" s="14"/>
      <c r="O32" s="15"/>
      <c r="P32" s="14"/>
      <c r="Q32" s="14" t="s">
        <v>44</v>
      </c>
      <c r="R32" s="14" t="s">
        <v>45</v>
      </c>
    </row>
    <row r="33" spans="1:18" x14ac:dyDescent="0.25">
      <c r="A33" s="11" t="str">
        <f>IF(OR($E33="",$G33="",$H33="",$Q33="",$R33=""),"",PREFIJO&amp;TEXT(SUMPRODUCT(($E$2:$E33&lt;&gt;"")*($G$2:$G33&lt;&gt;"")*($H$2:$H33&lt;&gt;"")*($Q$2:$Q33&lt;&gt;"")*($R$2:$R33&lt;&gt;"")),"0000"))</f>
        <v>MP-0032</v>
      </c>
      <c r="B33" s="11" t="s">
        <v>53</v>
      </c>
      <c r="C33" s="14" t="s">
        <v>36</v>
      </c>
      <c r="D33" s="14" t="s">
        <v>269</v>
      </c>
      <c r="E33" s="14" t="s">
        <v>260</v>
      </c>
      <c r="F33" s="14" t="s">
        <v>292</v>
      </c>
      <c r="G33" s="14" t="s">
        <v>40</v>
      </c>
      <c r="H33" s="14" t="s">
        <v>41</v>
      </c>
      <c r="I33" s="11" t="str">
        <f t="shared" ca="1" si="1"/>
        <v>CV-02</v>
      </c>
      <c r="J33" s="14"/>
      <c r="K33" s="15"/>
      <c r="L33" s="14"/>
      <c r="M33" s="15"/>
      <c r="N33" s="14"/>
      <c r="O33" s="15"/>
      <c r="P33" s="14"/>
      <c r="Q33" s="14" t="s">
        <v>44</v>
      </c>
      <c r="R33" s="14" t="s">
        <v>45</v>
      </c>
    </row>
    <row r="34" spans="1:18" x14ac:dyDescent="0.25">
      <c r="A34" s="11" t="str">
        <f>IF(OR($E34="",$G34="",$H34="",$Q34="",$R34=""),"",PREFIJO&amp;TEXT(SUMPRODUCT(($E$2:$E34&lt;&gt;"")*($G$2:$G34&lt;&gt;"")*($H$2:$H34&lt;&gt;"")*($Q$2:$Q34&lt;&gt;"")*($R$2:$R34&lt;&gt;"")),"0000"))</f>
        <v>MP-0033</v>
      </c>
      <c r="B34" s="11" t="s">
        <v>53</v>
      </c>
      <c r="C34" s="14" t="s">
        <v>36</v>
      </c>
      <c r="D34" s="14" t="s">
        <v>269</v>
      </c>
      <c r="E34" s="14" t="s">
        <v>261</v>
      </c>
      <c r="F34" s="14" t="s">
        <v>293</v>
      </c>
      <c r="G34" s="14" t="s">
        <v>40</v>
      </c>
      <c r="H34" s="14" t="s">
        <v>41</v>
      </c>
      <c r="I34" s="11" t="str">
        <f t="shared" ca="1" si="1"/>
        <v>CV-02</v>
      </c>
      <c r="J34" s="14"/>
      <c r="K34" s="15"/>
      <c r="L34" s="14"/>
      <c r="M34" s="15"/>
      <c r="N34" s="14"/>
      <c r="O34" s="15"/>
      <c r="P34" s="14"/>
      <c r="Q34" s="14" t="s">
        <v>44</v>
      </c>
      <c r="R34" s="14" t="s">
        <v>45</v>
      </c>
    </row>
    <row r="35" spans="1:18" x14ac:dyDescent="0.25">
      <c r="A35" s="11" t="str">
        <f>IF(OR($E35="",$G35="",$H35="",$Q35="",$R35=""),"",PREFIJO&amp;TEXT(SUMPRODUCT(($E$2:$E35&lt;&gt;"")*($G$2:$G35&lt;&gt;"")*($H$2:$H35&lt;&gt;"")*($Q$2:$Q35&lt;&gt;"")*($R$2:$R35&lt;&gt;"")),"0000"))</f>
        <v>MP-0034</v>
      </c>
      <c r="B35" s="11" t="s">
        <v>53</v>
      </c>
      <c r="C35" s="14" t="s">
        <v>36</v>
      </c>
      <c r="D35" s="14" t="s">
        <v>269</v>
      </c>
      <c r="E35" s="14" t="s">
        <v>262</v>
      </c>
      <c r="F35" s="14" t="s">
        <v>294</v>
      </c>
      <c r="G35" s="14" t="s">
        <v>40</v>
      </c>
      <c r="H35" s="14" t="s">
        <v>41</v>
      </c>
      <c r="I35" s="11" t="str">
        <f t="shared" ca="1" si="1"/>
        <v>CV-02</v>
      </c>
      <c r="J35" s="14"/>
      <c r="K35" s="15"/>
      <c r="L35" s="14"/>
      <c r="M35" s="15"/>
      <c r="N35" s="14"/>
      <c r="O35" s="15"/>
      <c r="P35" s="14"/>
      <c r="Q35" s="14" t="s">
        <v>44</v>
      </c>
      <c r="R35" s="14" t="s">
        <v>45</v>
      </c>
    </row>
    <row r="36" spans="1:18" x14ac:dyDescent="0.25">
      <c r="A36" s="11" t="str">
        <f>IF(OR($E36="",$G36="",$H36="",$Q36="",$R36=""),"",PREFIJO&amp;TEXT(SUMPRODUCT(($E$2:$E36&lt;&gt;"")*($G$2:$G36&lt;&gt;"")*($H$2:$H36&lt;&gt;"")*($Q$2:$Q36&lt;&gt;"")*($R$2:$R36&lt;&gt;"")),"0000"))</f>
        <v>MP-0035</v>
      </c>
      <c r="B36" s="11" t="s">
        <v>53</v>
      </c>
      <c r="C36" s="14" t="s">
        <v>36</v>
      </c>
      <c r="D36" s="14" t="s">
        <v>269</v>
      </c>
      <c r="E36" s="14" t="s">
        <v>263</v>
      </c>
      <c r="F36" s="14" t="s">
        <v>295</v>
      </c>
      <c r="G36" s="14" t="s">
        <v>40</v>
      </c>
      <c r="H36" s="14" t="s">
        <v>41</v>
      </c>
      <c r="I36" s="11" t="str">
        <f t="shared" ca="1" si="1"/>
        <v>CV-02</v>
      </c>
      <c r="J36" s="14"/>
      <c r="K36" s="15"/>
      <c r="L36" s="14"/>
      <c r="M36" s="15"/>
      <c r="N36" s="14"/>
      <c r="O36" s="15"/>
      <c r="P36" s="14"/>
      <c r="Q36" s="14" t="s">
        <v>44</v>
      </c>
      <c r="R36" s="14" t="s">
        <v>45</v>
      </c>
    </row>
    <row r="37" spans="1:18" x14ac:dyDescent="0.25">
      <c r="A37" s="11" t="str">
        <f>IF(OR($E37="",$G37="",$H37="",$Q37="",$R37=""),"",PREFIJO&amp;TEXT(SUMPRODUCT(($E$2:$E37&lt;&gt;"")*($G$2:$G37&lt;&gt;"")*($H$2:$H37&lt;&gt;"")*($Q$2:$Q37&lt;&gt;"")*($R$2:$R37&lt;&gt;"")),"0000"))</f>
        <v>MP-0036</v>
      </c>
      <c r="B37" s="11" t="s">
        <v>53</v>
      </c>
      <c r="C37" s="14" t="s">
        <v>36</v>
      </c>
      <c r="D37" s="14" t="s">
        <v>269</v>
      </c>
      <c r="E37" s="14" t="s">
        <v>264</v>
      </c>
      <c r="F37" s="14" t="s">
        <v>296</v>
      </c>
      <c r="G37" s="14" t="s">
        <v>40</v>
      </c>
      <c r="H37" s="14" t="s">
        <v>41</v>
      </c>
      <c r="I37" s="11" t="str">
        <f t="shared" ca="1" si="1"/>
        <v>CV-02</v>
      </c>
      <c r="J37" s="14"/>
      <c r="K37" s="15"/>
      <c r="L37" s="14"/>
      <c r="M37" s="15"/>
      <c r="N37" s="14"/>
      <c r="O37" s="15"/>
      <c r="P37" s="14"/>
      <c r="Q37" s="14" t="s">
        <v>44</v>
      </c>
      <c r="R37" s="14" t="s">
        <v>45</v>
      </c>
    </row>
    <row r="38" spans="1:18" x14ac:dyDescent="0.25">
      <c r="A38" s="11" t="str">
        <f>IF(OR($E38="",$G38="",$H38="",$Q38="",$R38=""),"",PREFIJO&amp;TEXT(SUMPRODUCT(($E$2:$E38&lt;&gt;"")*($G$2:$G38&lt;&gt;"")*($H$2:$H38&lt;&gt;"")*($Q$2:$Q38&lt;&gt;"")*($R$2:$R38&lt;&gt;"")),"0000"))</f>
        <v>MP-0037</v>
      </c>
      <c r="B38" s="11" t="s">
        <v>53</v>
      </c>
      <c r="C38" s="14" t="s">
        <v>36</v>
      </c>
      <c r="D38" s="14" t="s">
        <v>269</v>
      </c>
      <c r="E38" s="14" t="s">
        <v>265</v>
      </c>
      <c r="F38" s="14" t="s">
        <v>297</v>
      </c>
      <c r="G38" s="14" t="s">
        <v>40</v>
      </c>
      <c r="H38" s="14" t="s">
        <v>41</v>
      </c>
      <c r="I38" s="11" t="str">
        <f t="shared" ca="1" si="1"/>
        <v>CV-02</v>
      </c>
      <c r="J38" s="14"/>
      <c r="K38" s="15"/>
      <c r="L38" s="14"/>
      <c r="M38" s="15"/>
      <c r="N38" s="14"/>
      <c r="O38" s="15"/>
      <c r="P38" s="14"/>
      <c r="Q38" s="14" t="s">
        <v>44</v>
      </c>
      <c r="R38" s="14" t="s">
        <v>45</v>
      </c>
    </row>
    <row r="39" spans="1:18" x14ac:dyDescent="0.25">
      <c r="A39" s="11" t="str">
        <f>IF(OR($E39="",$G39="",$H39="",$Q39="",$R39=""),"",PREFIJO&amp;TEXT(SUMPRODUCT(($E$2:$E39&lt;&gt;"")*($G$2:$G39&lt;&gt;"")*($H$2:$H39&lt;&gt;"")*($Q$2:$Q39&lt;&gt;"")*($R$2:$R39&lt;&gt;"")),"0000"))</f>
        <v>MP-0038</v>
      </c>
      <c r="B39" s="11" t="s">
        <v>53</v>
      </c>
      <c r="C39" s="14" t="s">
        <v>36</v>
      </c>
      <c r="D39" s="14" t="s">
        <v>269</v>
      </c>
      <c r="E39" s="14" t="s">
        <v>266</v>
      </c>
      <c r="F39" s="14" t="s">
        <v>298</v>
      </c>
      <c r="G39" s="14" t="s">
        <v>40</v>
      </c>
      <c r="H39" s="14" t="s">
        <v>41</v>
      </c>
      <c r="I39" s="11" t="str">
        <f t="shared" ca="1" si="1"/>
        <v>CV-02</v>
      </c>
      <c r="J39" s="14"/>
      <c r="K39" s="15"/>
      <c r="L39" s="14"/>
      <c r="M39" s="15"/>
      <c r="N39" s="14"/>
      <c r="O39" s="15"/>
      <c r="P39" s="14"/>
      <c r="Q39" s="14" t="s">
        <v>44</v>
      </c>
      <c r="R39" s="14" t="s">
        <v>45</v>
      </c>
    </row>
    <row r="40" spans="1:18" x14ac:dyDescent="0.25">
      <c r="A40" s="11" t="str">
        <f>IF(OR($E40="",$G40="",$H40="",$Q40="",$R40=""),"",PREFIJO&amp;TEXT(SUMPRODUCT(($E$2:$E40&lt;&gt;"")*($G$2:$G40&lt;&gt;"")*($H$2:$H40&lt;&gt;"")*($Q$2:$Q40&lt;&gt;"")*($R$2:$R40&lt;&gt;"")),"0000"))</f>
        <v>MP-0039</v>
      </c>
      <c r="B40" s="11" t="s">
        <v>53</v>
      </c>
      <c r="C40" s="14" t="s">
        <v>36</v>
      </c>
      <c r="D40" s="14" t="s">
        <v>269</v>
      </c>
      <c r="E40" s="14" t="s">
        <v>267</v>
      </c>
      <c r="F40" s="14" t="s">
        <v>299</v>
      </c>
      <c r="G40" s="14" t="s">
        <v>40</v>
      </c>
      <c r="H40" s="14" t="s">
        <v>41</v>
      </c>
      <c r="I40" s="11" t="str">
        <f t="shared" ref="I40:I76" ca="1" si="3">IF($C40="","",IFERROR(INDEX(CAT_CV,MATCH($C40,CAT_NOMBRE,0)),""))</f>
        <v>CV-02</v>
      </c>
      <c r="J40" s="14"/>
      <c r="K40" s="15"/>
      <c r="L40" s="14"/>
      <c r="M40" s="15"/>
      <c r="N40" s="14"/>
      <c r="O40" s="15"/>
      <c r="P40" s="14"/>
      <c r="Q40" s="14" t="s">
        <v>44</v>
      </c>
      <c r="R40" s="14" t="s">
        <v>45</v>
      </c>
    </row>
    <row r="41" spans="1:18" x14ac:dyDescent="0.25">
      <c r="A41" s="11" t="str">
        <f>IF(OR($E41="",$G41="",$H41="",$Q41="",$R41=""),"",PREFIJO&amp;TEXT(SUMPRODUCT(($E$2:$E41&lt;&gt;"")*($G$2:$G41&lt;&gt;"")*($H$2:$H41&lt;&gt;"")*($Q$2:$Q41&lt;&gt;"")*($R$2:$R41&lt;&gt;"")),"0000"))</f>
        <v>MP-0040</v>
      </c>
      <c r="B41" s="11" t="s">
        <v>53</v>
      </c>
      <c r="C41" s="14" t="s">
        <v>36</v>
      </c>
      <c r="D41" s="14" t="s">
        <v>269</v>
      </c>
      <c r="E41" s="14" t="s">
        <v>268</v>
      </c>
      <c r="F41" s="14" t="s">
        <v>300</v>
      </c>
      <c r="G41" s="14" t="s">
        <v>40</v>
      </c>
      <c r="H41" s="14" t="s">
        <v>41</v>
      </c>
      <c r="I41" s="11" t="str">
        <f t="shared" ca="1" si="3"/>
        <v>CV-02</v>
      </c>
      <c r="J41" s="14"/>
      <c r="K41" s="15"/>
      <c r="L41" s="14"/>
      <c r="M41" s="15"/>
      <c r="N41" s="14"/>
      <c r="O41" s="15"/>
      <c r="P41" s="14"/>
      <c r="Q41" s="14" t="s">
        <v>44</v>
      </c>
      <c r="R41" s="14" t="s">
        <v>45</v>
      </c>
    </row>
    <row r="42" spans="1:18" x14ac:dyDescent="0.25">
      <c r="A42" s="11" t="str">
        <f>IF(OR($E42="",$G42="",$H42="",$Q42="",$R42=""),"",PREFIJO&amp;TEXT(SUMPRODUCT(($E$2:$E42&lt;&gt;"")*($G$2:$G42&lt;&gt;"")*($H$2:$H42&lt;&gt;"")*($Q$2:$Q42&lt;&gt;"")*($R$2:$R42&lt;&gt;"")),"0000"))</f>
        <v>MP-0041</v>
      </c>
      <c r="B42" s="11" t="s">
        <v>53</v>
      </c>
      <c r="C42" s="14" t="s">
        <v>36</v>
      </c>
      <c r="D42" s="14" t="s">
        <v>74</v>
      </c>
      <c r="E42" s="14" t="s">
        <v>301</v>
      </c>
      <c r="F42" s="14" t="s">
        <v>306</v>
      </c>
      <c r="G42" s="14" t="s">
        <v>40</v>
      </c>
      <c r="H42" s="14" t="s">
        <v>41</v>
      </c>
      <c r="I42" s="11" t="str">
        <f t="shared" ca="1" si="3"/>
        <v>CV-02</v>
      </c>
      <c r="J42" s="14"/>
      <c r="K42" s="15"/>
      <c r="L42" s="14"/>
      <c r="M42" s="15"/>
      <c r="N42" s="14"/>
      <c r="O42" s="15"/>
      <c r="P42" s="14"/>
      <c r="Q42" s="14" t="s">
        <v>44</v>
      </c>
      <c r="R42" s="14" t="s">
        <v>45</v>
      </c>
    </row>
    <row r="43" spans="1:18" x14ac:dyDescent="0.25">
      <c r="A43" s="11" t="str">
        <f>IF(OR($E43="",$G43="",$H43="",$Q43="",$R43=""),"",PREFIJO&amp;TEXT(SUMPRODUCT(($E$2:$E43&lt;&gt;"")*($G$2:$G43&lt;&gt;"")*($H$2:$H43&lt;&gt;"")*($Q$2:$Q43&lt;&gt;"")*($R$2:$R43&lt;&gt;"")),"0000"))</f>
        <v>MP-0042</v>
      </c>
      <c r="B43" s="11" t="s">
        <v>53</v>
      </c>
      <c r="C43" s="14" t="s">
        <v>36</v>
      </c>
      <c r="D43" s="14" t="s">
        <v>74</v>
      </c>
      <c r="E43" s="14" t="s">
        <v>302</v>
      </c>
      <c r="F43" s="14" t="s">
        <v>307</v>
      </c>
      <c r="G43" s="14" t="s">
        <v>40</v>
      </c>
      <c r="H43" s="14" t="s">
        <v>41</v>
      </c>
      <c r="I43" s="11" t="str">
        <f t="shared" ca="1" si="3"/>
        <v>CV-02</v>
      </c>
      <c r="J43" s="14"/>
      <c r="K43" s="15"/>
      <c r="L43" s="14"/>
      <c r="M43" s="15"/>
      <c r="N43" s="14"/>
      <c r="O43" s="15"/>
      <c r="P43" s="14"/>
      <c r="Q43" s="14" t="s">
        <v>44</v>
      </c>
      <c r="R43" s="14" t="s">
        <v>45</v>
      </c>
    </row>
    <row r="44" spans="1:18" x14ac:dyDescent="0.25">
      <c r="A44" s="11" t="str">
        <f>IF(OR($E44="",$G44="",$H44="",$Q44="",$R44=""),"",PREFIJO&amp;TEXT(SUMPRODUCT(($E$2:$E44&lt;&gt;"")*($G$2:$G44&lt;&gt;"")*($H$2:$H44&lt;&gt;"")*($Q$2:$Q44&lt;&gt;"")*($R$2:$R44&lt;&gt;"")),"0000"))</f>
        <v>MP-0043</v>
      </c>
      <c r="B44" s="11" t="s">
        <v>53</v>
      </c>
      <c r="C44" s="14" t="s">
        <v>36</v>
      </c>
      <c r="D44" s="14" t="s">
        <v>74</v>
      </c>
      <c r="E44" s="14" t="s">
        <v>303</v>
      </c>
      <c r="F44" s="14" t="s">
        <v>308</v>
      </c>
      <c r="G44" s="14" t="s">
        <v>40</v>
      </c>
      <c r="H44" s="14" t="s">
        <v>41</v>
      </c>
      <c r="I44" s="11" t="str">
        <f t="shared" ca="1" si="3"/>
        <v>CV-02</v>
      </c>
      <c r="J44" s="14"/>
      <c r="K44" s="15"/>
      <c r="L44" s="14"/>
      <c r="M44" s="15"/>
      <c r="N44" s="14"/>
      <c r="O44" s="15"/>
      <c r="P44" s="14"/>
      <c r="Q44" s="14" t="s">
        <v>44</v>
      </c>
      <c r="R44" s="14" t="s">
        <v>45</v>
      </c>
    </row>
    <row r="45" spans="1:18" x14ac:dyDescent="0.25">
      <c r="A45" s="11" t="str">
        <f>IF(OR($E45="",$G45="",$H45="",$Q45="",$R45=""),"",PREFIJO&amp;TEXT(SUMPRODUCT(($E$2:$E45&lt;&gt;"")*($G$2:$G45&lt;&gt;"")*($H$2:$H45&lt;&gt;"")*($Q$2:$Q45&lt;&gt;"")*($R$2:$R45&lt;&gt;"")),"0000"))</f>
        <v>MP-0044</v>
      </c>
      <c r="B45" s="11" t="s">
        <v>53</v>
      </c>
      <c r="C45" s="14" t="s">
        <v>36</v>
      </c>
      <c r="D45" s="14" t="s">
        <v>74</v>
      </c>
      <c r="E45" s="14" t="s">
        <v>304</v>
      </c>
      <c r="F45" s="14" t="s">
        <v>309</v>
      </c>
      <c r="G45" s="14" t="s">
        <v>40</v>
      </c>
      <c r="H45" s="14" t="s">
        <v>41</v>
      </c>
      <c r="I45" s="11" t="str">
        <f t="shared" ca="1" si="3"/>
        <v>CV-02</v>
      </c>
      <c r="J45" s="14"/>
      <c r="K45" s="15"/>
      <c r="L45" s="14"/>
      <c r="M45" s="15"/>
      <c r="N45" s="14"/>
      <c r="O45" s="15"/>
      <c r="P45" s="14"/>
      <c r="Q45" s="14" t="s">
        <v>44</v>
      </c>
      <c r="R45" s="14" t="s">
        <v>45</v>
      </c>
    </row>
    <row r="46" spans="1:18" x14ac:dyDescent="0.25">
      <c r="A46" s="11" t="str">
        <f>IF(OR($E46="",$G46="",$H46="",$Q46="",$R46=""),"",PREFIJO&amp;TEXT(SUMPRODUCT(($E$2:$E46&lt;&gt;"")*($G$2:$G46&lt;&gt;"")*($H$2:$H46&lt;&gt;"")*($Q$2:$Q46&lt;&gt;"")*($R$2:$R46&lt;&gt;"")),"0000"))</f>
        <v>MP-0045</v>
      </c>
      <c r="B46" s="11" t="s">
        <v>53</v>
      </c>
      <c r="C46" s="14" t="s">
        <v>36</v>
      </c>
      <c r="D46" s="14" t="s">
        <v>74</v>
      </c>
      <c r="E46" s="14" t="s">
        <v>305</v>
      </c>
      <c r="F46" s="14" t="s">
        <v>310</v>
      </c>
      <c r="G46" s="14" t="s">
        <v>40</v>
      </c>
      <c r="H46" s="14" t="s">
        <v>41</v>
      </c>
      <c r="I46" s="11" t="str">
        <f t="shared" ca="1" si="3"/>
        <v>CV-02</v>
      </c>
      <c r="J46" s="14"/>
      <c r="K46" s="15"/>
      <c r="L46" s="14"/>
      <c r="M46" s="15"/>
      <c r="N46" s="14"/>
      <c r="O46" s="15"/>
      <c r="P46" s="14"/>
      <c r="Q46" s="14" t="s">
        <v>44</v>
      </c>
      <c r="R46" s="14" t="s">
        <v>45</v>
      </c>
    </row>
    <row r="47" spans="1:18" x14ac:dyDescent="0.25">
      <c r="A47" s="11" t="str">
        <f>IF(OR($E47="",$G47="",$H47="",$Q47="",$R47=""),"",PREFIJO&amp;TEXT(SUMPRODUCT(($E$2:$E47&lt;&gt;"")*($G$2:$G47&lt;&gt;"")*($H$2:$H47&lt;&gt;"")*($Q$2:$Q47&lt;&gt;"")*($R$2:$R47&lt;&gt;"")),"0000"))</f>
        <v>MP-0046</v>
      </c>
      <c r="B47" s="11" t="s">
        <v>53</v>
      </c>
      <c r="C47" s="14" t="s">
        <v>64</v>
      </c>
      <c r="D47" s="14"/>
      <c r="E47" s="14" t="s">
        <v>311</v>
      </c>
      <c r="F47" s="14" t="s">
        <v>324</v>
      </c>
      <c r="G47" s="14" t="s">
        <v>40</v>
      </c>
      <c r="H47" s="14" t="s">
        <v>41</v>
      </c>
      <c r="I47" s="11" t="str">
        <f t="shared" ca="1" si="3"/>
        <v>CV-02</v>
      </c>
      <c r="J47" s="14"/>
      <c r="K47" s="15"/>
      <c r="L47" s="14"/>
      <c r="M47" s="15"/>
      <c r="N47" s="14"/>
      <c r="O47" s="15"/>
      <c r="P47" s="14"/>
      <c r="Q47" s="14" t="s">
        <v>44</v>
      </c>
      <c r="R47" s="14" t="s">
        <v>45</v>
      </c>
    </row>
    <row r="48" spans="1:18" x14ac:dyDescent="0.25">
      <c r="A48" s="11" t="str">
        <f>IF(OR($E48="",$G48="",$H48="",$Q48="",$R48=""),"",PREFIJO&amp;TEXT(SUMPRODUCT(($E$2:$E48&lt;&gt;"")*($G$2:$G48&lt;&gt;"")*($H$2:$H48&lt;&gt;"")*($Q$2:$Q48&lt;&gt;"")*($R$2:$R48&lt;&gt;"")),"0000"))</f>
        <v>MP-0047</v>
      </c>
      <c r="B48" s="11" t="s">
        <v>53</v>
      </c>
      <c r="C48" s="14" t="s">
        <v>64</v>
      </c>
      <c r="D48" s="14"/>
      <c r="E48" s="14" t="s">
        <v>312</v>
      </c>
      <c r="F48" s="14" t="s">
        <v>325</v>
      </c>
      <c r="G48" s="14" t="s">
        <v>40</v>
      </c>
      <c r="H48" s="14" t="s">
        <v>41</v>
      </c>
      <c r="I48" s="11" t="str">
        <f t="shared" ca="1" si="3"/>
        <v>CV-02</v>
      </c>
      <c r="J48" s="14"/>
      <c r="K48" s="15"/>
      <c r="L48" s="14"/>
      <c r="M48" s="15"/>
      <c r="N48" s="14"/>
      <c r="O48" s="15"/>
      <c r="P48" s="14"/>
      <c r="Q48" s="14" t="s">
        <v>44</v>
      </c>
      <c r="R48" s="14" t="s">
        <v>45</v>
      </c>
    </row>
    <row r="49" spans="1:18" x14ac:dyDescent="0.25">
      <c r="A49" s="11" t="str">
        <f>IF(OR($E49="",$G49="",$H49="",$Q49="",$R49=""),"",PREFIJO&amp;TEXT(SUMPRODUCT(($E$2:$E49&lt;&gt;"")*($G$2:$G49&lt;&gt;"")*($H$2:$H49&lt;&gt;"")*($Q$2:$Q49&lt;&gt;"")*($R$2:$R49&lt;&gt;"")),"0000"))</f>
        <v>MP-0048</v>
      </c>
      <c r="B49" s="11" t="s">
        <v>53</v>
      </c>
      <c r="C49" s="14" t="s">
        <v>64</v>
      </c>
      <c r="D49" s="14"/>
      <c r="E49" s="14" t="s">
        <v>317</v>
      </c>
      <c r="F49" s="14" t="s">
        <v>326</v>
      </c>
      <c r="G49" s="14" t="s">
        <v>40</v>
      </c>
      <c r="H49" s="14" t="s">
        <v>41</v>
      </c>
      <c r="I49" s="11"/>
      <c r="J49" s="14"/>
      <c r="K49" s="15"/>
      <c r="L49" s="14"/>
      <c r="M49" s="15"/>
      <c r="N49" s="14"/>
      <c r="O49" s="15"/>
      <c r="P49" s="14"/>
      <c r="Q49" s="14" t="s">
        <v>44</v>
      </c>
      <c r="R49" s="14" t="s">
        <v>45</v>
      </c>
    </row>
    <row r="50" spans="1:18" x14ac:dyDescent="0.25">
      <c r="A50" s="11" t="str">
        <f>IF(OR($E50="",$G50="",$H50="",$Q50="",$R50=""),"",PREFIJO&amp;TEXT(SUMPRODUCT(($E$2:$E50&lt;&gt;"")*($G$2:$G50&lt;&gt;"")*($H$2:$H50&lt;&gt;"")*($Q$2:$Q50&lt;&gt;"")*($R$2:$R50&lt;&gt;"")),"0000"))</f>
        <v>MP-0049</v>
      </c>
      <c r="B50" s="11" t="s">
        <v>53</v>
      </c>
      <c r="C50" s="14" t="s">
        <v>64</v>
      </c>
      <c r="D50" s="14"/>
      <c r="E50" s="14" t="s">
        <v>313</v>
      </c>
      <c r="F50" s="14" t="s">
        <v>327</v>
      </c>
      <c r="G50" s="14" t="s">
        <v>40</v>
      </c>
      <c r="H50" s="14" t="s">
        <v>41</v>
      </c>
      <c r="I50" s="11" t="str">
        <f t="shared" ca="1" si="3"/>
        <v>CV-02</v>
      </c>
      <c r="J50" s="14"/>
      <c r="K50" s="15"/>
      <c r="L50" s="14"/>
      <c r="M50" s="15"/>
      <c r="N50" s="14"/>
      <c r="O50" s="15"/>
      <c r="P50" s="14"/>
      <c r="Q50" s="14" t="s">
        <v>44</v>
      </c>
      <c r="R50" s="14" t="s">
        <v>45</v>
      </c>
    </row>
    <row r="51" spans="1:18" x14ac:dyDescent="0.25">
      <c r="A51" s="11" t="str">
        <f>IF(OR($E51="",$G51="",$H51="",$Q51="",$R51=""),"",PREFIJO&amp;TEXT(SUMPRODUCT(($E$2:$E51&lt;&gt;"")*($G$2:$G51&lt;&gt;"")*($H$2:$H51&lt;&gt;"")*($Q$2:$Q51&lt;&gt;"")*($R$2:$R51&lt;&gt;"")),"0000"))</f>
        <v>MP-0050</v>
      </c>
      <c r="B51" s="11" t="s">
        <v>53</v>
      </c>
      <c r="C51" s="14" t="s">
        <v>64</v>
      </c>
      <c r="D51" s="14"/>
      <c r="E51" s="14" t="s">
        <v>314</v>
      </c>
      <c r="F51" s="14" t="s">
        <v>328</v>
      </c>
      <c r="G51" s="14" t="s">
        <v>40</v>
      </c>
      <c r="H51" s="14" t="s">
        <v>41</v>
      </c>
      <c r="I51" s="11" t="str">
        <f t="shared" ca="1" si="3"/>
        <v>CV-02</v>
      </c>
      <c r="J51" s="14"/>
      <c r="K51" s="15"/>
      <c r="L51" s="14"/>
      <c r="M51" s="15"/>
      <c r="N51" s="14"/>
      <c r="O51" s="15"/>
      <c r="P51" s="14"/>
      <c r="Q51" s="14" t="s">
        <v>44</v>
      </c>
      <c r="R51" s="14" t="s">
        <v>45</v>
      </c>
    </row>
    <row r="52" spans="1:18" x14ac:dyDescent="0.25">
      <c r="A52" s="11" t="str">
        <f>IF(OR($E52="",$G52="",$H52="",$Q52="",$R52=""),"",PREFIJO&amp;TEXT(SUMPRODUCT(($E$2:$E52&lt;&gt;"")*($G$2:$G52&lt;&gt;"")*($H$2:$H52&lt;&gt;"")*($Q$2:$Q52&lt;&gt;"")*($R$2:$R52&lt;&gt;"")),"0000"))</f>
        <v>MP-0051</v>
      </c>
      <c r="B52" s="11" t="s">
        <v>53</v>
      </c>
      <c r="C52" s="14" t="s">
        <v>64</v>
      </c>
      <c r="D52" s="14"/>
      <c r="E52" s="14" t="s">
        <v>337</v>
      </c>
      <c r="F52" s="14" t="s">
        <v>338</v>
      </c>
      <c r="G52" s="14" t="s">
        <v>40</v>
      </c>
      <c r="H52" s="14" t="s">
        <v>41</v>
      </c>
      <c r="I52" s="11"/>
      <c r="J52" s="14"/>
      <c r="K52" s="15"/>
      <c r="L52" s="14"/>
      <c r="M52" s="15"/>
      <c r="N52" s="14"/>
      <c r="O52" s="15"/>
      <c r="P52" s="14"/>
      <c r="Q52" s="14" t="s">
        <v>44</v>
      </c>
      <c r="R52" s="14" t="s">
        <v>45</v>
      </c>
    </row>
    <row r="53" spans="1:18" x14ac:dyDescent="0.25">
      <c r="A53" s="11" t="str">
        <f>IF(OR($E53="",$G53="",$H53="",$Q53="",$R53=""),"",PREFIJO&amp;TEXT(SUMPRODUCT(($E$2:$E53&lt;&gt;"")*($G$2:$G53&lt;&gt;"")*($H$2:$H53&lt;&gt;"")*($Q$2:$Q53&lt;&gt;"")*($R$2:$R53&lt;&gt;"")),"0000"))</f>
        <v>MP-0052</v>
      </c>
      <c r="B53" s="11" t="s">
        <v>53</v>
      </c>
      <c r="C53" s="14" t="s">
        <v>64</v>
      </c>
      <c r="D53" s="14"/>
      <c r="E53" s="14" t="s">
        <v>315</v>
      </c>
      <c r="F53" s="14" t="s">
        <v>329</v>
      </c>
      <c r="G53" s="14" t="s">
        <v>40</v>
      </c>
      <c r="H53" s="14" t="s">
        <v>41</v>
      </c>
      <c r="I53" s="11" t="str">
        <f t="shared" ca="1" si="3"/>
        <v>CV-02</v>
      </c>
      <c r="J53" s="14"/>
      <c r="K53" s="15"/>
      <c r="L53" s="14"/>
      <c r="M53" s="15"/>
      <c r="N53" s="14"/>
      <c r="O53" s="15"/>
      <c r="P53" s="14"/>
      <c r="Q53" s="14" t="s">
        <v>44</v>
      </c>
      <c r="R53" s="14" t="s">
        <v>45</v>
      </c>
    </row>
    <row r="54" spans="1:18" x14ac:dyDescent="0.25">
      <c r="A54" s="11" t="str">
        <f>IF(OR($E54="",$G54="",$H54="",$Q54="",$R54=""),"",PREFIJO&amp;TEXT(SUMPRODUCT(($E$2:$E54&lt;&gt;"")*($G$2:$G54&lt;&gt;"")*($H$2:$H54&lt;&gt;"")*($Q$2:$Q54&lt;&gt;"")*($R$2:$R54&lt;&gt;"")),"0000"))</f>
        <v>MP-0053</v>
      </c>
      <c r="B54" s="11" t="s">
        <v>53</v>
      </c>
      <c r="C54" s="14" t="s">
        <v>64</v>
      </c>
      <c r="D54" s="14"/>
      <c r="E54" s="14" t="s">
        <v>316</v>
      </c>
      <c r="F54" s="14" t="s">
        <v>330</v>
      </c>
      <c r="G54" s="14" t="s">
        <v>40</v>
      </c>
      <c r="H54" s="14" t="s">
        <v>41</v>
      </c>
      <c r="I54" s="11" t="str">
        <f t="shared" ca="1" si="3"/>
        <v>CV-02</v>
      </c>
      <c r="J54" s="14"/>
      <c r="K54" s="15"/>
      <c r="L54" s="14"/>
      <c r="M54" s="15"/>
      <c r="N54" s="14"/>
      <c r="O54" s="15"/>
      <c r="P54" s="14"/>
      <c r="Q54" s="14" t="s">
        <v>44</v>
      </c>
      <c r="R54" s="14" t="s">
        <v>45</v>
      </c>
    </row>
    <row r="55" spans="1:18" x14ac:dyDescent="0.25">
      <c r="A55" s="11" t="str">
        <f>IF(OR($E55="",$G55="",$H55="",$Q55="",$R55=""),"",PREFIJO&amp;TEXT(SUMPRODUCT(($E$2:$E55&lt;&gt;"")*($G$2:$G55&lt;&gt;"")*($H$2:$H55&lt;&gt;"")*($Q$2:$Q55&lt;&gt;"")*($R$2:$R55&lt;&gt;"")),"0000"))</f>
        <v>MP-0054</v>
      </c>
      <c r="B55" s="11" t="s">
        <v>53</v>
      </c>
      <c r="C55" s="14" t="s">
        <v>64</v>
      </c>
      <c r="D55" s="14"/>
      <c r="E55" s="14" t="s">
        <v>318</v>
      </c>
      <c r="F55" s="14" t="s">
        <v>331</v>
      </c>
      <c r="G55" s="14" t="s">
        <v>40</v>
      </c>
      <c r="H55" s="14" t="s">
        <v>41</v>
      </c>
      <c r="I55" s="11" t="str">
        <f t="shared" ca="1" si="3"/>
        <v>CV-02</v>
      </c>
      <c r="J55" s="14"/>
      <c r="K55" s="15"/>
      <c r="L55" s="14"/>
      <c r="M55" s="15"/>
      <c r="N55" s="14"/>
      <c r="O55" s="15"/>
      <c r="P55" s="14"/>
      <c r="Q55" s="14" t="s">
        <v>44</v>
      </c>
      <c r="R55" s="14" t="s">
        <v>45</v>
      </c>
    </row>
    <row r="56" spans="1:18" x14ac:dyDescent="0.25">
      <c r="A56" s="11" t="str">
        <f>IF(OR($E56="",$G56="",$H56="",$Q56="",$R56=""),"",PREFIJO&amp;TEXT(SUMPRODUCT(($E$2:$E56&lt;&gt;"")*($G$2:$G56&lt;&gt;"")*($H$2:$H56&lt;&gt;"")*($Q$2:$Q56&lt;&gt;"")*($R$2:$R56&lt;&gt;"")),"0000"))</f>
        <v>MP-0055</v>
      </c>
      <c r="B56" s="11" t="s">
        <v>53</v>
      </c>
      <c r="C56" s="14" t="s">
        <v>64</v>
      </c>
      <c r="D56" s="14"/>
      <c r="E56" s="14" t="s">
        <v>319</v>
      </c>
      <c r="F56" s="14" t="s">
        <v>332</v>
      </c>
      <c r="G56" s="14" t="s">
        <v>40</v>
      </c>
      <c r="H56" s="14" t="s">
        <v>41</v>
      </c>
      <c r="I56" s="11" t="str">
        <f t="shared" ca="1" si="3"/>
        <v>CV-02</v>
      </c>
      <c r="J56" s="14"/>
      <c r="K56" s="15"/>
      <c r="L56" s="14"/>
      <c r="M56" s="15"/>
      <c r="N56" s="14"/>
      <c r="O56" s="15"/>
      <c r="P56" s="14"/>
      <c r="Q56" s="14" t="s">
        <v>44</v>
      </c>
      <c r="R56" s="14" t="s">
        <v>45</v>
      </c>
    </row>
    <row r="57" spans="1:18" x14ac:dyDescent="0.25">
      <c r="A57" s="11" t="str">
        <f>IF(OR($E57="",$G57="",$H57="",$Q57="",$R57=""),"",PREFIJO&amp;TEXT(SUMPRODUCT(($E$2:$E57&lt;&gt;"")*($G$2:$G57&lt;&gt;"")*($H$2:$H57&lt;&gt;"")*($Q$2:$Q57&lt;&gt;"")*($R$2:$R57&lt;&gt;"")),"0000"))</f>
        <v>MP-0056</v>
      </c>
      <c r="B57" s="11" t="s">
        <v>53</v>
      </c>
      <c r="C57" s="14" t="s">
        <v>64</v>
      </c>
      <c r="D57" s="14"/>
      <c r="E57" s="14" t="s">
        <v>320</v>
      </c>
      <c r="F57" s="14" t="s">
        <v>333</v>
      </c>
      <c r="G57" s="14" t="s">
        <v>40</v>
      </c>
      <c r="H57" s="14" t="s">
        <v>41</v>
      </c>
      <c r="I57" s="11" t="str">
        <f t="shared" ca="1" si="3"/>
        <v>CV-02</v>
      </c>
      <c r="J57" s="14"/>
      <c r="K57" s="15"/>
      <c r="L57" s="14"/>
      <c r="M57" s="15"/>
      <c r="N57" s="14"/>
      <c r="O57" s="15"/>
      <c r="P57" s="14"/>
      <c r="Q57" s="14" t="s">
        <v>44</v>
      </c>
      <c r="R57" s="14" t="s">
        <v>45</v>
      </c>
    </row>
    <row r="58" spans="1:18" x14ac:dyDescent="0.25">
      <c r="A58" s="11" t="str">
        <f>IF(OR($E58="",$G58="",$H58="",$Q58="",$R58=""),"",PREFIJO&amp;TEXT(SUMPRODUCT(($E$2:$E58&lt;&gt;"")*($G$2:$G58&lt;&gt;"")*($H$2:$H58&lt;&gt;"")*($Q$2:$Q58&lt;&gt;"")*($R$2:$R58&lt;&gt;"")),"0000"))</f>
        <v>MP-0057</v>
      </c>
      <c r="B58" s="11" t="s">
        <v>53</v>
      </c>
      <c r="C58" s="14" t="s">
        <v>64</v>
      </c>
      <c r="D58" s="14"/>
      <c r="E58" s="14" t="s">
        <v>321</v>
      </c>
      <c r="F58" s="14" t="s">
        <v>334</v>
      </c>
      <c r="G58" s="14" t="s">
        <v>40</v>
      </c>
      <c r="H58" s="14" t="s">
        <v>41</v>
      </c>
      <c r="I58" s="11" t="str">
        <f t="shared" ca="1" si="3"/>
        <v>CV-02</v>
      </c>
      <c r="J58" s="14"/>
      <c r="K58" s="15"/>
      <c r="L58" s="14"/>
      <c r="M58" s="15"/>
      <c r="N58" s="14"/>
      <c r="O58" s="15"/>
      <c r="P58" s="14"/>
      <c r="Q58" s="14" t="s">
        <v>44</v>
      </c>
      <c r="R58" s="14" t="s">
        <v>45</v>
      </c>
    </row>
    <row r="59" spans="1:18" x14ac:dyDescent="0.25">
      <c r="A59" s="11" t="str">
        <f>IF(OR($E59="",$G59="",$H59="",$Q59="",$R59=""),"",PREFIJO&amp;TEXT(SUMPRODUCT(($E$2:$E59&lt;&gt;"")*($G$2:$G59&lt;&gt;"")*($H$2:$H59&lt;&gt;"")*($Q$2:$Q59&lt;&gt;"")*($R$2:$R59&lt;&gt;"")),"0000"))</f>
        <v>MP-0058</v>
      </c>
      <c r="B59" s="11" t="s">
        <v>53</v>
      </c>
      <c r="C59" s="14" t="s">
        <v>64</v>
      </c>
      <c r="D59" s="14"/>
      <c r="E59" s="14" t="s">
        <v>322</v>
      </c>
      <c r="F59" s="14" t="s">
        <v>335</v>
      </c>
      <c r="G59" s="14" t="s">
        <v>40</v>
      </c>
      <c r="H59" s="14" t="s">
        <v>41</v>
      </c>
      <c r="I59" s="11" t="str">
        <f t="shared" ca="1" si="3"/>
        <v>CV-02</v>
      </c>
      <c r="J59" s="14"/>
      <c r="K59" s="15"/>
      <c r="L59" s="14"/>
      <c r="M59" s="15"/>
      <c r="N59" s="14"/>
      <c r="O59" s="15"/>
      <c r="P59" s="14"/>
      <c r="Q59" s="14" t="s">
        <v>44</v>
      </c>
      <c r="R59" s="14" t="s">
        <v>45</v>
      </c>
    </row>
    <row r="60" spans="1:18" x14ac:dyDescent="0.25">
      <c r="A60" s="11" t="str">
        <f>IF(OR($E60="",$G60="",$H60="",$Q60="",$R60=""),"",PREFIJO&amp;TEXT(SUMPRODUCT(($E$2:$E60&lt;&gt;"")*($G$2:$G60&lt;&gt;"")*($H$2:$H60&lt;&gt;"")*($Q$2:$Q60&lt;&gt;"")*($R$2:$R60&lt;&gt;"")),"0000"))</f>
        <v>MP-0059</v>
      </c>
      <c r="B60" s="11" t="s">
        <v>53</v>
      </c>
      <c r="C60" s="14" t="s">
        <v>64</v>
      </c>
      <c r="D60" s="14"/>
      <c r="E60" s="14" t="s">
        <v>323</v>
      </c>
      <c r="F60" s="14" t="s">
        <v>336</v>
      </c>
      <c r="G60" s="14" t="s">
        <v>40</v>
      </c>
      <c r="H60" s="14" t="s">
        <v>41</v>
      </c>
      <c r="I60" s="11" t="str">
        <f t="shared" ca="1" si="3"/>
        <v>CV-02</v>
      </c>
      <c r="J60" s="14"/>
      <c r="K60" s="15"/>
      <c r="L60" s="14"/>
      <c r="M60" s="15"/>
      <c r="N60" s="14"/>
      <c r="O60" s="15"/>
      <c r="P60" s="14"/>
      <c r="Q60" s="14" t="s">
        <v>44</v>
      </c>
      <c r="R60" s="14" t="s">
        <v>45</v>
      </c>
    </row>
    <row r="61" spans="1:18" x14ac:dyDescent="0.25">
      <c r="A61" s="11" t="str">
        <f>IF(OR($E61="",$G61="",$H61="",$Q61="",$R61=""),"",PREFIJO&amp;TEXT(SUMPRODUCT(($E$2:$E61&lt;&gt;"")*($G$2:$G61&lt;&gt;"")*($H$2:$H61&lt;&gt;"")*($Q$2:$Q61&lt;&gt;"")*($R$2:$R61&lt;&gt;"")),"0000"))</f>
        <v>MP-0060</v>
      </c>
      <c r="B61" s="11" t="s">
        <v>53</v>
      </c>
      <c r="C61" s="14" t="s">
        <v>64</v>
      </c>
      <c r="D61" s="14"/>
      <c r="E61" s="14" t="s">
        <v>342</v>
      </c>
      <c r="F61" s="14" t="s">
        <v>343</v>
      </c>
      <c r="G61" s="14" t="s">
        <v>40</v>
      </c>
      <c r="H61" s="14" t="s">
        <v>41</v>
      </c>
      <c r="I61" s="11"/>
      <c r="J61" s="14"/>
      <c r="K61" s="15"/>
      <c r="L61" s="14"/>
      <c r="M61" s="15"/>
      <c r="N61" s="14"/>
      <c r="O61" s="15"/>
      <c r="P61" s="14"/>
      <c r="Q61" s="14" t="s">
        <v>44</v>
      </c>
      <c r="R61" s="14" t="s">
        <v>45</v>
      </c>
    </row>
    <row r="62" spans="1:18" x14ac:dyDescent="0.25">
      <c r="A62" s="11" t="str">
        <f>IF(OR($E62="",$G62="",$H62="",$Q62="",$R62=""),"",PREFIJO&amp;TEXT(SUMPRODUCT(($E$2:$E62&lt;&gt;"")*($G$2:$G62&lt;&gt;"")*($H$2:$H62&lt;&gt;"")*($Q$2:$Q62&lt;&gt;"")*($R$2:$R62&lt;&gt;"")),"0000"))</f>
        <v>MP-0061</v>
      </c>
      <c r="B62" s="11" t="s">
        <v>53</v>
      </c>
      <c r="C62" s="14" t="s">
        <v>64</v>
      </c>
      <c r="D62" s="14"/>
      <c r="E62" s="14" t="s">
        <v>339</v>
      </c>
      <c r="F62" s="14" t="s">
        <v>344</v>
      </c>
      <c r="G62" s="14" t="s">
        <v>40</v>
      </c>
      <c r="H62" s="14" t="s">
        <v>41</v>
      </c>
      <c r="I62" s="11" t="str">
        <f t="shared" ca="1" si="3"/>
        <v>CV-02</v>
      </c>
      <c r="J62" s="14"/>
      <c r="K62" s="15"/>
      <c r="L62" s="14"/>
      <c r="M62" s="15"/>
      <c r="N62" s="14"/>
      <c r="O62" s="15"/>
      <c r="P62" s="14"/>
      <c r="Q62" s="14" t="s">
        <v>44</v>
      </c>
      <c r="R62" s="14" t="s">
        <v>45</v>
      </c>
    </row>
    <row r="63" spans="1:18" x14ac:dyDescent="0.25">
      <c r="A63" s="11" t="str">
        <f>IF(OR($E63="",$G63="",$H63="",$Q63="",$R63=""),"",PREFIJO&amp;TEXT(SUMPRODUCT(($E$2:$E63&lt;&gt;"")*($G$2:$G63&lt;&gt;"")*($H$2:$H63&lt;&gt;"")*($Q$2:$Q63&lt;&gt;"")*($R$2:$R63&lt;&gt;"")),"0000"))</f>
        <v>MP-0062</v>
      </c>
      <c r="B63" s="11" t="s">
        <v>53</v>
      </c>
      <c r="C63" s="14" t="s">
        <v>64</v>
      </c>
      <c r="D63" s="14"/>
      <c r="E63" s="14" t="s">
        <v>348</v>
      </c>
      <c r="F63" s="14" t="s">
        <v>347</v>
      </c>
      <c r="G63" s="14" t="s">
        <v>40</v>
      </c>
      <c r="H63" s="14" t="s">
        <v>41</v>
      </c>
      <c r="I63" s="11"/>
      <c r="J63" s="14"/>
      <c r="K63" s="15"/>
      <c r="L63" s="14"/>
      <c r="M63" s="15"/>
      <c r="N63" s="14"/>
      <c r="O63" s="15"/>
      <c r="P63" s="14"/>
      <c r="Q63" s="14" t="s">
        <v>44</v>
      </c>
      <c r="R63" s="14" t="s">
        <v>45</v>
      </c>
    </row>
    <row r="64" spans="1:18" x14ac:dyDescent="0.25">
      <c r="A64" s="11" t="str">
        <f>IF(OR($E64="",$G64="",$H64="",$Q64="",$R64=""),"",PREFIJO&amp;TEXT(SUMPRODUCT(($E$2:$E64&lt;&gt;"")*($G$2:$G64&lt;&gt;"")*($H$2:$H64&lt;&gt;"")*($Q$2:$Q64&lt;&gt;"")*($R$2:$R64&lt;&gt;"")),"0000"))</f>
        <v>MP-0063</v>
      </c>
      <c r="B64" s="11" t="s">
        <v>53</v>
      </c>
      <c r="C64" s="14" t="s">
        <v>64</v>
      </c>
      <c r="D64" s="14"/>
      <c r="E64" s="14" t="s">
        <v>340</v>
      </c>
      <c r="F64" s="14" t="s">
        <v>345</v>
      </c>
      <c r="G64" s="14" t="s">
        <v>40</v>
      </c>
      <c r="H64" s="14" t="s">
        <v>41</v>
      </c>
      <c r="I64" s="11" t="str">
        <f t="shared" ca="1" si="3"/>
        <v>CV-02</v>
      </c>
      <c r="J64" s="14"/>
      <c r="K64" s="15"/>
      <c r="L64" s="14"/>
      <c r="M64" s="15"/>
      <c r="N64" s="14"/>
      <c r="O64" s="15"/>
      <c r="P64" s="14"/>
      <c r="Q64" s="14" t="s">
        <v>44</v>
      </c>
      <c r="R64" s="14" t="s">
        <v>45</v>
      </c>
    </row>
    <row r="65" spans="1:18" x14ac:dyDescent="0.25">
      <c r="A65" s="11" t="str">
        <f>IF(OR($E65="",$G65="",$H65="",$Q65="",$R65=""),"",PREFIJO&amp;TEXT(SUMPRODUCT(($E$2:$E65&lt;&gt;"")*($G$2:$G65&lt;&gt;"")*($H$2:$H65&lt;&gt;"")*($Q$2:$Q65&lt;&gt;"")*($R$2:$R65&lt;&gt;"")),"0000"))</f>
        <v>MP-0064</v>
      </c>
      <c r="B65" s="11" t="s">
        <v>53</v>
      </c>
      <c r="C65" s="14" t="s">
        <v>64</v>
      </c>
      <c r="D65" s="14"/>
      <c r="E65" s="14" t="s">
        <v>341</v>
      </c>
      <c r="F65" s="14" t="s">
        <v>346</v>
      </c>
      <c r="G65" s="14" t="s">
        <v>40</v>
      </c>
      <c r="H65" s="14" t="s">
        <v>41</v>
      </c>
      <c r="I65" s="11" t="str">
        <f t="shared" ca="1" si="3"/>
        <v>CV-02</v>
      </c>
      <c r="J65" s="14"/>
      <c r="K65" s="15"/>
      <c r="L65" s="14"/>
      <c r="M65" s="15"/>
      <c r="N65" s="14"/>
      <c r="O65" s="15"/>
      <c r="P65" s="14"/>
      <c r="Q65" s="14" t="s">
        <v>44</v>
      </c>
      <c r="R65" s="14" t="s">
        <v>45</v>
      </c>
    </row>
    <row r="66" spans="1:18" x14ac:dyDescent="0.25">
      <c r="A66" s="11" t="str">
        <f>IF(OR($E66="",$G66="",$H66="",$Q66="",$R66=""),"",PREFIJO&amp;TEXT(SUMPRODUCT(($E$2:$E66&lt;&gt;"")*($G$2:$G66&lt;&gt;"")*($H$2:$H66&lt;&gt;"")*($Q$2:$Q66&lt;&gt;"")*($R$2:$R66&lt;&gt;"")),"0000"))</f>
        <v>MP-0065</v>
      </c>
      <c r="B66" s="11" t="s">
        <v>53</v>
      </c>
      <c r="C66" s="14" t="s">
        <v>61</v>
      </c>
      <c r="D66" s="14" t="s">
        <v>350</v>
      </c>
      <c r="E66" s="14" t="s">
        <v>352</v>
      </c>
      <c r="F66" s="14" t="s">
        <v>389</v>
      </c>
      <c r="G66" s="14" t="s">
        <v>425</v>
      </c>
      <c r="H66" s="14" t="s">
        <v>41</v>
      </c>
      <c r="I66" s="11" t="str">
        <f t="shared" ca="1" si="3"/>
        <v>CV-01</v>
      </c>
      <c r="J66" s="14"/>
      <c r="K66" s="15"/>
      <c r="L66" s="14"/>
      <c r="M66" s="15"/>
      <c r="N66" s="14"/>
      <c r="O66" s="15"/>
      <c r="P66" s="14"/>
      <c r="Q66" s="14" t="s">
        <v>44</v>
      </c>
      <c r="R66" s="14" t="s">
        <v>45</v>
      </c>
    </row>
    <row r="67" spans="1:18" x14ac:dyDescent="0.25">
      <c r="A67" s="11" t="str">
        <f>IF(OR($E67="",$G67="",$H67="",$Q67="",$R67=""),"",PREFIJO&amp;TEXT(SUMPRODUCT(($E$2:$E67&lt;&gt;"")*($G$2:$G67&lt;&gt;"")*($H$2:$H67&lt;&gt;"")*($Q$2:$Q67&lt;&gt;"")*($R$2:$R67&lt;&gt;"")),"0000"))</f>
        <v>MP-0066</v>
      </c>
      <c r="B67" s="11" t="s">
        <v>53</v>
      </c>
      <c r="C67" s="14" t="s">
        <v>61</v>
      </c>
      <c r="D67" s="14" t="s">
        <v>349</v>
      </c>
      <c r="E67" s="14" t="s">
        <v>353</v>
      </c>
      <c r="F67" s="14" t="s">
        <v>390</v>
      </c>
      <c r="G67" s="14" t="s">
        <v>425</v>
      </c>
      <c r="H67" s="14" t="s">
        <v>41</v>
      </c>
      <c r="I67" s="11" t="str">
        <f t="shared" ca="1" si="3"/>
        <v>CV-01</v>
      </c>
      <c r="J67" s="14"/>
      <c r="K67" s="15"/>
      <c r="L67" s="14"/>
      <c r="M67" s="15"/>
      <c r="N67" s="14"/>
      <c r="O67" s="15"/>
      <c r="P67" s="14"/>
      <c r="Q67" s="14" t="s">
        <v>44</v>
      </c>
      <c r="R67" s="14" t="s">
        <v>45</v>
      </c>
    </row>
    <row r="68" spans="1:18" x14ac:dyDescent="0.25">
      <c r="A68" s="11" t="str">
        <f>IF(OR($E68="",$G68="",$H68="",$Q68="",$R68=""),"",PREFIJO&amp;TEXT(SUMPRODUCT(($E$2:$E68&lt;&gt;"")*($G$2:$G68&lt;&gt;"")*($H$2:$H68&lt;&gt;"")*($Q$2:$Q68&lt;&gt;"")*($R$2:$R68&lt;&gt;"")),"0000"))</f>
        <v>MP-0067</v>
      </c>
      <c r="B68" s="11" t="s">
        <v>53</v>
      </c>
      <c r="C68" s="14" t="s">
        <v>61</v>
      </c>
      <c r="D68" s="14" t="s">
        <v>349</v>
      </c>
      <c r="E68" s="14" t="s">
        <v>354</v>
      </c>
      <c r="F68" s="14" t="s">
        <v>390</v>
      </c>
      <c r="G68" s="14" t="s">
        <v>425</v>
      </c>
      <c r="H68" s="14" t="s">
        <v>41</v>
      </c>
      <c r="I68" s="11" t="str">
        <f t="shared" ca="1" si="3"/>
        <v>CV-01</v>
      </c>
      <c r="J68" s="14"/>
      <c r="K68" s="15"/>
      <c r="L68" s="14"/>
      <c r="M68" s="15"/>
      <c r="N68" s="14"/>
      <c r="O68" s="15"/>
      <c r="P68" s="14"/>
      <c r="Q68" s="14" t="s">
        <v>44</v>
      </c>
      <c r="R68" s="14" t="s">
        <v>45</v>
      </c>
    </row>
    <row r="69" spans="1:18" x14ac:dyDescent="0.25">
      <c r="A69" s="11" t="str">
        <f>IF(OR($E69="",$G69="",$H69="",$Q69="",$R69=""),"",PREFIJO&amp;TEXT(SUMPRODUCT(($E$2:$E69&lt;&gt;"")*($G$2:$G69&lt;&gt;"")*($H$2:$H69&lt;&gt;"")*($Q$2:$Q69&lt;&gt;"")*($R$2:$R69&lt;&gt;"")),"0000"))</f>
        <v>MP-0068</v>
      </c>
      <c r="B69" s="11" t="s">
        <v>53</v>
      </c>
      <c r="C69" s="14" t="s">
        <v>61</v>
      </c>
      <c r="D69" s="14" t="s">
        <v>350</v>
      </c>
      <c r="E69" s="14" t="s">
        <v>355</v>
      </c>
      <c r="F69" s="14" t="s">
        <v>391</v>
      </c>
      <c r="G69" s="14" t="s">
        <v>425</v>
      </c>
      <c r="H69" s="14" t="s">
        <v>41</v>
      </c>
      <c r="I69" s="11" t="str">
        <f t="shared" ca="1" si="3"/>
        <v>CV-01</v>
      </c>
      <c r="J69" s="14"/>
      <c r="K69" s="15"/>
      <c r="L69" s="14"/>
      <c r="M69" s="15"/>
      <c r="N69" s="14"/>
      <c r="O69" s="15"/>
      <c r="P69" s="14"/>
      <c r="Q69" s="14" t="s">
        <v>44</v>
      </c>
      <c r="R69" s="14" t="s">
        <v>45</v>
      </c>
    </row>
    <row r="70" spans="1:18" x14ac:dyDescent="0.25">
      <c r="A70" s="11" t="str">
        <f>IF(OR($E70="",$G70="",$H70="",$Q70="",$R70=""),"",PREFIJO&amp;TEXT(SUMPRODUCT(($E$2:$E70&lt;&gt;"")*($G$2:$G70&lt;&gt;"")*($H$2:$H70&lt;&gt;"")*($Q$2:$Q70&lt;&gt;"")*($R$2:$R70&lt;&gt;"")),"0000"))</f>
        <v>MP-0069</v>
      </c>
      <c r="B70" s="11" t="s">
        <v>53</v>
      </c>
      <c r="C70" s="14" t="s">
        <v>61</v>
      </c>
      <c r="D70" s="14" t="s">
        <v>350</v>
      </c>
      <c r="E70" s="14" t="s">
        <v>362</v>
      </c>
      <c r="F70" s="14" t="s">
        <v>392</v>
      </c>
      <c r="G70" s="14" t="s">
        <v>425</v>
      </c>
      <c r="H70" s="14" t="s">
        <v>41</v>
      </c>
      <c r="I70" s="11"/>
      <c r="J70" s="14"/>
      <c r="K70" s="15"/>
      <c r="L70" s="14"/>
      <c r="M70" s="15"/>
      <c r="N70" s="14"/>
      <c r="O70" s="15"/>
      <c r="P70" s="14"/>
      <c r="Q70" s="14" t="s">
        <v>44</v>
      </c>
      <c r="R70" s="14" t="s">
        <v>45</v>
      </c>
    </row>
    <row r="71" spans="1:18" x14ac:dyDescent="0.25">
      <c r="A71" s="11" t="str">
        <f>IF(OR($E71="",$G71="",$H71="",$Q71="",$R71=""),"",PREFIJO&amp;TEXT(SUMPRODUCT(($E$2:$E71&lt;&gt;"")*($G$2:$G71&lt;&gt;"")*($H$2:$H71&lt;&gt;"")*($Q$2:$Q71&lt;&gt;"")*($R$2:$R71&lt;&gt;"")),"0000"))</f>
        <v>MP-0070</v>
      </c>
      <c r="B71" s="11" t="s">
        <v>53</v>
      </c>
      <c r="C71" s="14" t="s">
        <v>61</v>
      </c>
      <c r="D71" s="14" t="s">
        <v>350</v>
      </c>
      <c r="E71" s="14" t="s">
        <v>356</v>
      </c>
      <c r="F71" s="14" t="s">
        <v>393</v>
      </c>
      <c r="G71" s="14" t="s">
        <v>425</v>
      </c>
      <c r="H71" s="14" t="s">
        <v>41</v>
      </c>
      <c r="I71" s="11" t="str">
        <f t="shared" ca="1" si="3"/>
        <v>CV-01</v>
      </c>
      <c r="J71" s="14"/>
      <c r="K71" s="15"/>
      <c r="L71" s="14"/>
      <c r="M71" s="15"/>
      <c r="N71" s="14"/>
      <c r="O71" s="15"/>
      <c r="P71" s="14"/>
      <c r="Q71" s="14" t="s">
        <v>44</v>
      </c>
      <c r="R71" s="14" t="s">
        <v>45</v>
      </c>
    </row>
    <row r="72" spans="1:18" x14ac:dyDescent="0.25">
      <c r="A72" s="11" t="str">
        <f>IF(OR($E72="",$G72="",$H72="",$Q72="",$R72=""),"",PREFIJO&amp;TEXT(SUMPRODUCT(($E$2:$E72&lt;&gt;"")*($G$2:$G72&lt;&gt;"")*($H$2:$H72&lt;&gt;"")*($Q$2:$Q72&lt;&gt;"")*($R$2:$R72&lt;&gt;"")),"0000"))</f>
        <v>MP-0071</v>
      </c>
      <c r="B72" s="11" t="s">
        <v>53</v>
      </c>
      <c r="C72" s="14" t="s">
        <v>61</v>
      </c>
      <c r="D72" s="14" t="s">
        <v>350</v>
      </c>
      <c r="E72" s="14" t="s">
        <v>357</v>
      </c>
      <c r="F72" s="14" t="s">
        <v>394</v>
      </c>
      <c r="G72" s="14" t="s">
        <v>425</v>
      </c>
      <c r="H72" s="14" t="s">
        <v>41</v>
      </c>
      <c r="I72" s="11" t="str">
        <f t="shared" ca="1" si="3"/>
        <v>CV-01</v>
      </c>
      <c r="J72" s="14"/>
      <c r="K72" s="15"/>
      <c r="L72" s="14"/>
      <c r="M72" s="15"/>
      <c r="N72" s="14"/>
      <c r="O72" s="15"/>
      <c r="P72" s="14"/>
      <c r="Q72" s="14" t="s">
        <v>44</v>
      </c>
      <c r="R72" s="14" t="s">
        <v>45</v>
      </c>
    </row>
    <row r="73" spans="1:18" x14ac:dyDescent="0.25">
      <c r="A73" s="11" t="str">
        <f>IF(OR($E73="",$G73="",$H73="",$Q73="",$R73=""),"",PREFIJO&amp;TEXT(SUMPRODUCT(($E$2:$E73&lt;&gt;"")*($G$2:$G73&lt;&gt;"")*($H$2:$H73&lt;&gt;"")*($Q$2:$Q73&lt;&gt;"")*($R$2:$R73&lt;&gt;"")),"0000"))</f>
        <v>MP-0072</v>
      </c>
      <c r="B73" s="11" t="s">
        <v>53</v>
      </c>
      <c r="C73" s="14" t="s">
        <v>61</v>
      </c>
      <c r="D73" s="14" t="s">
        <v>350</v>
      </c>
      <c r="E73" s="14" t="s">
        <v>358</v>
      </c>
      <c r="F73" s="14" t="s">
        <v>395</v>
      </c>
      <c r="G73" s="14" t="s">
        <v>425</v>
      </c>
      <c r="H73" s="14" t="s">
        <v>41</v>
      </c>
      <c r="I73" s="11" t="str">
        <f t="shared" ca="1" si="3"/>
        <v>CV-01</v>
      </c>
      <c r="J73" s="14"/>
      <c r="K73" s="15"/>
      <c r="L73" s="14"/>
      <c r="M73" s="15"/>
      <c r="N73" s="14"/>
      <c r="O73" s="15"/>
      <c r="P73" s="14"/>
      <c r="Q73" s="14" t="s">
        <v>44</v>
      </c>
      <c r="R73" s="14" t="s">
        <v>45</v>
      </c>
    </row>
    <row r="74" spans="1:18" x14ac:dyDescent="0.25">
      <c r="A74" s="11" t="str">
        <f>IF(OR($E74="",$G74="",$H74="",$Q74="",$R74=""),"",PREFIJO&amp;TEXT(SUMPRODUCT(($E$2:$E74&lt;&gt;"")*($G$2:$G74&lt;&gt;"")*($H$2:$H74&lt;&gt;"")*($Q$2:$Q74&lt;&gt;"")*($R$2:$R74&lt;&gt;"")),"0000"))</f>
        <v>MP-0073</v>
      </c>
      <c r="B74" s="11" t="s">
        <v>53</v>
      </c>
      <c r="C74" s="14" t="s">
        <v>61</v>
      </c>
      <c r="D74" s="14" t="s">
        <v>349</v>
      </c>
      <c r="E74" s="14" t="s">
        <v>359</v>
      </c>
      <c r="F74" s="14" t="s">
        <v>396</v>
      </c>
      <c r="G74" s="14" t="s">
        <v>425</v>
      </c>
      <c r="H74" s="14" t="s">
        <v>41</v>
      </c>
      <c r="I74" s="11" t="str">
        <f t="shared" ca="1" si="3"/>
        <v>CV-01</v>
      </c>
      <c r="J74" s="14"/>
      <c r="K74" s="15"/>
      <c r="L74" s="14"/>
      <c r="M74" s="15"/>
      <c r="N74" s="14"/>
      <c r="O74" s="15"/>
      <c r="P74" s="14"/>
      <c r="Q74" s="14" t="s">
        <v>44</v>
      </c>
      <c r="R74" s="14" t="s">
        <v>45</v>
      </c>
    </row>
    <row r="75" spans="1:18" x14ac:dyDescent="0.25">
      <c r="A75" s="11" t="str">
        <f>IF(OR($E75="",$G75="",$H75="",$Q75="",$R75=""),"",PREFIJO&amp;TEXT(SUMPRODUCT(($E$2:$E75&lt;&gt;"")*($G$2:$G75&lt;&gt;"")*($H$2:$H75&lt;&gt;"")*($Q$2:$Q75&lt;&gt;"")*($R$2:$R75&lt;&gt;"")),"0000"))</f>
        <v>MP-0074</v>
      </c>
      <c r="B75" s="11" t="s">
        <v>53</v>
      </c>
      <c r="C75" s="14" t="s">
        <v>61</v>
      </c>
      <c r="D75" s="14" t="s">
        <v>349</v>
      </c>
      <c r="E75" s="14" t="s">
        <v>360</v>
      </c>
      <c r="F75" s="14" t="s">
        <v>397</v>
      </c>
      <c r="G75" s="14" t="s">
        <v>425</v>
      </c>
      <c r="H75" s="14" t="s">
        <v>41</v>
      </c>
      <c r="I75" s="11" t="str">
        <f t="shared" ca="1" si="3"/>
        <v>CV-01</v>
      </c>
      <c r="J75" s="14"/>
      <c r="K75" s="15"/>
      <c r="L75" s="14"/>
      <c r="M75" s="15"/>
      <c r="N75" s="14"/>
      <c r="O75" s="15"/>
      <c r="P75" s="14"/>
      <c r="Q75" s="14" t="s">
        <v>44</v>
      </c>
      <c r="R75" s="14" t="s">
        <v>45</v>
      </c>
    </row>
    <row r="76" spans="1:18" x14ac:dyDescent="0.25">
      <c r="A76" s="11" t="str">
        <f>IF(OR($E76="",$G76="",$H76="",$Q76="",$R76=""),"",PREFIJO&amp;TEXT(SUMPRODUCT(($E$2:$E76&lt;&gt;"")*($G$2:$G76&lt;&gt;"")*($H$2:$H76&lt;&gt;"")*($Q$2:$Q76&lt;&gt;"")*($R$2:$R76&lt;&gt;"")),"0000"))</f>
        <v>MP-0075</v>
      </c>
      <c r="B76" s="11" t="s">
        <v>53</v>
      </c>
      <c r="C76" s="14" t="s">
        <v>61</v>
      </c>
      <c r="D76" s="14" t="s">
        <v>349</v>
      </c>
      <c r="E76" s="14" t="s">
        <v>361</v>
      </c>
      <c r="F76" s="14" t="s">
        <v>398</v>
      </c>
      <c r="G76" s="14" t="s">
        <v>425</v>
      </c>
      <c r="H76" s="14" t="s">
        <v>41</v>
      </c>
      <c r="I76" s="11" t="str">
        <f t="shared" ca="1" si="3"/>
        <v>CV-01</v>
      </c>
      <c r="J76" s="14"/>
      <c r="K76" s="15"/>
      <c r="L76" s="14"/>
      <c r="M76" s="15"/>
      <c r="N76" s="14"/>
      <c r="O76" s="15"/>
      <c r="P76" s="14"/>
      <c r="Q76" s="14" t="s">
        <v>44</v>
      </c>
      <c r="R76" s="14" t="s">
        <v>45</v>
      </c>
    </row>
    <row r="77" spans="1:18" x14ac:dyDescent="0.25">
      <c r="A77" s="11" t="str">
        <f>IF(OR($E77="",$G77="",$H77="",$Q77="",$R77=""),"",PREFIJO&amp;TEXT(SUMPRODUCT(($E$2:$E77&lt;&gt;"")*($G$2:$G77&lt;&gt;"")*($H$2:$H77&lt;&gt;"")*($Q$2:$Q77&lt;&gt;"")*($R$2:$R77&lt;&gt;"")),"0000"))</f>
        <v>MP-0076</v>
      </c>
      <c r="B77" s="11" t="s">
        <v>53</v>
      </c>
      <c r="C77" s="14" t="s">
        <v>61</v>
      </c>
      <c r="D77" s="14" t="s">
        <v>350</v>
      </c>
      <c r="E77" s="14" t="s">
        <v>363</v>
      </c>
      <c r="F77" s="14" t="s">
        <v>399</v>
      </c>
      <c r="G77" s="14" t="s">
        <v>425</v>
      </c>
      <c r="H77" s="14" t="s">
        <v>41</v>
      </c>
      <c r="I77" s="11" t="str">
        <f t="shared" ref="I77:I109" ca="1" si="4">IF($C77="","",IFERROR(INDEX(CAT_CV,MATCH($C77,CAT_NOMBRE,0)),""))</f>
        <v>CV-01</v>
      </c>
      <c r="J77" s="14"/>
      <c r="K77" s="15"/>
      <c r="L77" s="14"/>
      <c r="M77" s="15"/>
      <c r="N77" s="14"/>
      <c r="O77" s="15"/>
      <c r="P77" s="14"/>
      <c r="Q77" s="14" t="s">
        <v>44</v>
      </c>
      <c r="R77" s="14" t="s">
        <v>45</v>
      </c>
    </row>
    <row r="78" spans="1:18" x14ac:dyDescent="0.25">
      <c r="A78" s="11" t="str">
        <f>IF(OR($E78="",$G78="",$H78="",$Q78="",$R78=""),"",PREFIJO&amp;TEXT(SUMPRODUCT(($E$2:$E78&lt;&gt;"")*($G$2:$G78&lt;&gt;"")*($H$2:$H78&lt;&gt;"")*($Q$2:$Q78&lt;&gt;"")*($R$2:$R78&lt;&gt;"")),"0000"))</f>
        <v>MP-0077</v>
      </c>
      <c r="B78" s="11" t="s">
        <v>53</v>
      </c>
      <c r="C78" s="14" t="s">
        <v>61</v>
      </c>
      <c r="D78" s="14" t="s">
        <v>350</v>
      </c>
      <c r="E78" s="14" t="s">
        <v>364</v>
      </c>
      <c r="F78" s="14" t="s">
        <v>400</v>
      </c>
      <c r="G78" s="14" t="s">
        <v>425</v>
      </c>
      <c r="H78" s="14" t="s">
        <v>41</v>
      </c>
      <c r="I78" s="11" t="str">
        <f t="shared" ca="1" si="4"/>
        <v>CV-01</v>
      </c>
      <c r="J78" s="14"/>
      <c r="K78" s="15"/>
      <c r="L78" s="14"/>
      <c r="M78" s="15"/>
      <c r="N78" s="14"/>
      <c r="O78" s="15"/>
      <c r="P78" s="14"/>
      <c r="Q78" s="14" t="s">
        <v>44</v>
      </c>
      <c r="R78" s="14" t="s">
        <v>45</v>
      </c>
    </row>
    <row r="79" spans="1:18" x14ac:dyDescent="0.25">
      <c r="A79" s="11" t="str">
        <f>IF(OR($E79="",$G79="",$H79="",$Q79="",$R79=""),"",PREFIJO&amp;TEXT(SUMPRODUCT(($E$2:$E79&lt;&gt;"")*($G$2:$G79&lt;&gt;"")*($H$2:$H79&lt;&gt;"")*($Q$2:$Q79&lt;&gt;"")*($R$2:$R79&lt;&gt;"")),"0000"))</f>
        <v>MP-0078</v>
      </c>
      <c r="B79" s="11" t="s">
        <v>53</v>
      </c>
      <c r="C79" s="14" t="s">
        <v>61</v>
      </c>
      <c r="D79" s="14" t="s">
        <v>349</v>
      </c>
      <c r="E79" s="14" t="s">
        <v>365</v>
      </c>
      <c r="F79" s="14" t="s">
        <v>401</v>
      </c>
      <c r="G79" s="14" t="s">
        <v>425</v>
      </c>
      <c r="H79" s="14" t="s">
        <v>41</v>
      </c>
      <c r="I79" s="11" t="str">
        <f t="shared" ca="1" si="4"/>
        <v>CV-01</v>
      </c>
      <c r="J79" s="14"/>
      <c r="K79" s="15"/>
      <c r="L79" s="14"/>
      <c r="M79" s="15"/>
      <c r="N79" s="14"/>
      <c r="O79" s="15"/>
      <c r="P79" s="14"/>
      <c r="Q79" s="14" t="s">
        <v>44</v>
      </c>
      <c r="R79" s="14" t="s">
        <v>45</v>
      </c>
    </row>
    <row r="80" spans="1:18" x14ac:dyDescent="0.25">
      <c r="A80" s="11" t="str">
        <f>IF(OR($E80="",$G80="",$H80="",$Q80="",$R80=""),"",PREFIJO&amp;TEXT(SUMPRODUCT(($E$2:$E80&lt;&gt;"")*($G$2:$G80&lt;&gt;"")*($H$2:$H80&lt;&gt;"")*($Q$2:$Q80&lt;&gt;"")*($R$2:$R80&lt;&gt;"")),"0000"))</f>
        <v>MP-0079</v>
      </c>
      <c r="B80" s="11" t="s">
        <v>53</v>
      </c>
      <c r="C80" s="14" t="s">
        <v>61</v>
      </c>
      <c r="D80" s="14" t="s">
        <v>349</v>
      </c>
      <c r="E80" s="14" t="s">
        <v>380</v>
      </c>
      <c r="F80" s="14" t="s">
        <v>402</v>
      </c>
      <c r="G80" s="14" t="s">
        <v>425</v>
      </c>
      <c r="H80" s="14" t="s">
        <v>41</v>
      </c>
      <c r="I80" s="11"/>
      <c r="J80" s="14"/>
      <c r="K80" s="15"/>
      <c r="L80" s="14"/>
      <c r="M80" s="15"/>
      <c r="N80" s="14"/>
      <c r="O80" s="15"/>
      <c r="P80" s="14"/>
      <c r="Q80" s="14" t="s">
        <v>44</v>
      </c>
      <c r="R80" s="14" t="s">
        <v>45</v>
      </c>
    </row>
    <row r="81" spans="1:18" x14ac:dyDescent="0.25">
      <c r="A81" s="11" t="str">
        <f>IF(OR($E81="",$G81="",$H81="",$Q81="",$R81=""),"",PREFIJO&amp;TEXT(SUMPRODUCT(($E$2:$E81&lt;&gt;"")*($G$2:$G81&lt;&gt;"")*($H$2:$H81&lt;&gt;"")*($Q$2:$Q81&lt;&gt;"")*($R$2:$R81&lt;&gt;"")),"0000"))</f>
        <v>MP-0080</v>
      </c>
      <c r="B81" s="11" t="s">
        <v>53</v>
      </c>
      <c r="C81" s="14" t="s">
        <v>61</v>
      </c>
      <c r="D81" s="14" t="s">
        <v>349</v>
      </c>
      <c r="E81" s="14" t="s">
        <v>366</v>
      </c>
      <c r="F81" s="14" t="s">
        <v>403</v>
      </c>
      <c r="G81" s="14" t="s">
        <v>425</v>
      </c>
      <c r="H81" s="14" t="s">
        <v>41</v>
      </c>
      <c r="I81" s="11" t="str">
        <f t="shared" ca="1" si="4"/>
        <v>CV-01</v>
      </c>
      <c r="J81" s="14"/>
      <c r="K81" s="15"/>
      <c r="L81" s="14"/>
      <c r="M81" s="15"/>
      <c r="N81" s="14"/>
      <c r="O81" s="15"/>
      <c r="P81" s="14"/>
      <c r="Q81" s="14" t="s">
        <v>44</v>
      </c>
      <c r="R81" s="14" t="s">
        <v>45</v>
      </c>
    </row>
    <row r="82" spans="1:18" x14ac:dyDescent="0.25">
      <c r="A82" s="11" t="str">
        <f>IF(OR($E82="",$G82="",$H82="",$Q82="",$R82=""),"",PREFIJO&amp;TEXT(SUMPRODUCT(($E$2:$E82&lt;&gt;"")*($G$2:$G82&lt;&gt;"")*($H$2:$H82&lt;&gt;"")*($Q$2:$Q82&lt;&gt;"")*($R$2:$R82&lt;&gt;"")),"0000"))</f>
        <v>MP-0081</v>
      </c>
      <c r="B82" s="11" t="s">
        <v>53</v>
      </c>
      <c r="C82" s="14" t="s">
        <v>61</v>
      </c>
      <c r="D82" s="14" t="s">
        <v>350</v>
      </c>
      <c r="E82" s="14" t="s">
        <v>367</v>
      </c>
      <c r="F82" s="14" t="s">
        <v>404</v>
      </c>
      <c r="G82" s="14" t="s">
        <v>425</v>
      </c>
      <c r="H82" s="14" t="s">
        <v>41</v>
      </c>
      <c r="I82" s="11" t="str">
        <f t="shared" ca="1" si="4"/>
        <v>CV-01</v>
      </c>
      <c r="J82" s="14"/>
      <c r="K82" s="15"/>
      <c r="L82" s="14"/>
      <c r="M82" s="15"/>
      <c r="N82" s="14"/>
      <c r="O82" s="15"/>
      <c r="P82" s="14"/>
      <c r="Q82" s="14" t="s">
        <v>44</v>
      </c>
      <c r="R82" s="14" t="s">
        <v>45</v>
      </c>
    </row>
    <row r="83" spans="1:18" x14ac:dyDescent="0.25">
      <c r="A83" s="11" t="str">
        <f>IF(OR($E83="",$G83="",$H83="",$Q83="",$R83=""),"",PREFIJO&amp;TEXT(SUMPRODUCT(($E$2:$E83&lt;&gt;"")*($G$2:$G83&lt;&gt;"")*($H$2:$H83&lt;&gt;"")*($Q$2:$Q83&lt;&gt;"")*($R$2:$R83&lt;&gt;"")),"0000"))</f>
        <v>MP-0082</v>
      </c>
      <c r="B83" s="11" t="s">
        <v>53</v>
      </c>
      <c r="C83" s="14" t="s">
        <v>61</v>
      </c>
      <c r="D83" s="14" t="s">
        <v>350</v>
      </c>
      <c r="E83" s="14" t="s">
        <v>368</v>
      </c>
      <c r="F83" s="14" t="s">
        <v>405</v>
      </c>
      <c r="G83" s="14" t="s">
        <v>425</v>
      </c>
      <c r="H83" s="14" t="s">
        <v>41</v>
      </c>
      <c r="I83" s="11" t="str">
        <f t="shared" ca="1" si="4"/>
        <v>CV-01</v>
      </c>
      <c r="J83" s="14"/>
      <c r="K83" s="15"/>
      <c r="L83" s="14"/>
      <c r="M83" s="15"/>
      <c r="N83" s="14"/>
      <c r="O83" s="15"/>
      <c r="P83" s="14"/>
      <c r="Q83" s="14" t="s">
        <v>44</v>
      </c>
      <c r="R83" s="14" t="s">
        <v>45</v>
      </c>
    </row>
    <row r="84" spans="1:18" x14ac:dyDescent="0.25">
      <c r="A84" s="11" t="str">
        <f>IF(OR($E84="",$G84="",$H84="",$Q84="",$R84=""),"",PREFIJO&amp;TEXT(SUMPRODUCT(($E$2:$E84&lt;&gt;"")*($G$2:$G84&lt;&gt;"")*($H$2:$H84&lt;&gt;"")*($Q$2:$Q84&lt;&gt;"")*($R$2:$R84&lt;&gt;"")),"0000"))</f>
        <v>MP-0083</v>
      </c>
      <c r="B84" s="11" t="s">
        <v>53</v>
      </c>
      <c r="C84" s="14" t="s">
        <v>61</v>
      </c>
      <c r="D84" s="14" t="s">
        <v>349</v>
      </c>
      <c r="E84" s="14" t="s">
        <v>369</v>
      </c>
      <c r="F84" s="14" t="s">
        <v>406</v>
      </c>
      <c r="G84" s="14" t="s">
        <v>425</v>
      </c>
      <c r="H84" s="14" t="s">
        <v>41</v>
      </c>
      <c r="I84" s="11" t="str">
        <f t="shared" ca="1" si="4"/>
        <v>CV-01</v>
      </c>
      <c r="J84" s="14"/>
      <c r="K84" s="15"/>
      <c r="L84" s="14"/>
      <c r="M84" s="15"/>
      <c r="N84" s="14"/>
      <c r="O84" s="15"/>
      <c r="P84" s="14"/>
      <c r="Q84" s="14" t="s">
        <v>44</v>
      </c>
      <c r="R84" s="14" t="s">
        <v>45</v>
      </c>
    </row>
    <row r="85" spans="1:18" x14ac:dyDescent="0.25">
      <c r="A85" s="11" t="str">
        <f>IF(OR($E85="",$G85="",$H85="",$Q85="",$R85=""),"",PREFIJO&amp;TEXT(SUMPRODUCT(($E$2:$E85&lt;&gt;"")*($G$2:$G85&lt;&gt;"")*($H$2:$H85&lt;&gt;"")*($Q$2:$Q85&lt;&gt;"")*($R$2:$R85&lt;&gt;"")),"0000"))</f>
        <v>MP-0084</v>
      </c>
      <c r="B85" s="11" t="s">
        <v>53</v>
      </c>
      <c r="C85" s="14" t="s">
        <v>61</v>
      </c>
      <c r="D85" s="14" t="s">
        <v>350</v>
      </c>
      <c r="E85" s="14" t="s">
        <v>370</v>
      </c>
      <c r="F85" s="14" t="s">
        <v>407</v>
      </c>
      <c r="G85" s="14" t="s">
        <v>425</v>
      </c>
      <c r="H85" s="14" t="s">
        <v>41</v>
      </c>
      <c r="I85" s="11" t="str">
        <f t="shared" ca="1" si="4"/>
        <v>CV-01</v>
      </c>
      <c r="J85" s="14"/>
      <c r="K85" s="15"/>
      <c r="L85" s="14"/>
      <c r="M85" s="15"/>
      <c r="N85" s="14"/>
      <c r="O85" s="15"/>
      <c r="P85" s="14"/>
      <c r="Q85" s="14" t="s">
        <v>44</v>
      </c>
      <c r="R85" s="14" t="s">
        <v>45</v>
      </c>
    </row>
    <row r="86" spans="1:18" x14ac:dyDescent="0.25">
      <c r="A86" s="11" t="str">
        <f>IF(OR($E86="",$G86="",$H86="",$Q86="",$R86=""),"",PREFIJO&amp;TEXT(SUMPRODUCT(($E$2:$E86&lt;&gt;"")*($G$2:$G86&lt;&gt;"")*($H$2:$H86&lt;&gt;"")*($Q$2:$Q86&lt;&gt;"")*($R$2:$R86&lt;&gt;"")),"0000"))</f>
        <v>MP-0085</v>
      </c>
      <c r="B86" s="11" t="s">
        <v>53</v>
      </c>
      <c r="C86" s="14" t="s">
        <v>61</v>
      </c>
      <c r="D86" s="14" t="s">
        <v>350</v>
      </c>
      <c r="E86" s="14" t="s">
        <v>371</v>
      </c>
      <c r="F86" s="14" t="s">
        <v>408</v>
      </c>
      <c r="G86" s="14" t="s">
        <v>425</v>
      </c>
      <c r="H86" s="14" t="s">
        <v>41</v>
      </c>
      <c r="I86" s="11" t="str">
        <f t="shared" ca="1" si="4"/>
        <v>CV-01</v>
      </c>
      <c r="J86" s="14"/>
      <c r="K86" s="15"/>
      <c r="L86" s="14"/>
      <c r="M86" s="15"/>
      <c r="N86" s="14"/>
      <c r="O86" s="15"/>
      <c r="P86" s="14"/>
      <c r="Q86" s="14" t="s">
        <v>44</v>
      </c>
      <c r="R86" s="14" t="s">
        <v>45</v>
      </c>
    </row>
    <row r="87" spans="1:18" x14ac:dyDescent="0.25">
      <c r="A87" s="11" t="str">
        <f>IF(OR($E87="",$G87="",$H87="",$Q87="",$R87=""),"",PREFIJO&amp;TEXT(SUMPRODUCT(($E$2:$E87&lt;&gt;"")*($G$2:$G87&lt;&gt;"")*($H$2:$H87&lt;&gt;"")*($Q$2:$Q87&lt;&gt;"")*($R$2:$R87&lt;&gt;"")),"0000"))</f>
        <v>MP-0086</v>
      </c>
      <c r="B87" s="11" t="s">
        <v>53</v>
      </c>
      <c r="C87" s="14" t="s">
        <v>61</v>
      </c>
      <c r="D87" s="14" t="s">
        <v>350</v>
      </c>
      <c r="E87" s="14" t="s">
        <v>372</v>
      </c>
      <c r="F87" s="14" t="s">
        <v>409</v>
      </c>
      <c r="G87" s="14" t="s">
        <v>425</v>
      </c>
      <c r="H87" s="14" t="s">
        <v>41</v>
      </c>
      <c r="I87" s="11" t="str">
        <f t="shared" ca="1" si="4"/>
        <v>CV-01</v>
      </c>
      <c r="J87" s="14"/>
      <c r="K87" s="15"/>
      <c r="L87" s="14"/>
      <c r="M87" s="15"/>
      <c r="N87" s="14"/>
      <c r="O87" s="15"/>
      <c r="P87" s="14"/>
      <c r="Q87" s="14" t="s">
        <v>44</v>
      </c>
      <c r="R87" s="14" t="s">
        <v>45</v>
      </c>
    </row>
    <row r="88" spans="1:18" x14ac:dyDescent="0.25">
      <c r="A88" s="11" t="str">
        <f>IF(OR($E88="",$G88="",$H88="",$Q88="",$R88=""),"",PREFIJO&amp;TEXT(SUMPRODUCT(($E$2:$E88&lt;&gt;"")*($G$2:$G88&lt;&gt;"")*($H$2:$H88&lt;&gt;"")*($Q$2:$Q88&lt;&gt;"")*($R$2:$R88&lt;&gt;"")),"0000"))</f>
        <v>MP-0087</v>
      </c>
      <c r="B88" s="11" t="s">
        <v>53</v>
      </c>
      <c r="C88" s="14" t="s">
        <v>61</v>
      </c>
      <c r="D88" s="14" t="s">
        <v>351</v>
      </c>
      <c r="E88" s="14" t="s">
        <v>373</v>
      </c>
      <c r="F88" s="14" t="s">
        <v>410</v>
      </c>
      <c r="G88" s="14" t="s">
        <v>425</v>
      </c>
      <c r="H88" s="14" t="s">
        <v>41</v>
      </c>
      <c r="I88" s="11" t="str">
        <f t="shared" ca="1" si="4"/>
        <v>CV-01</v>
      </c>
      <c r="J88" s="14"/>
      <c r="K88" s="15"/>
      <c r="L88" s="14"/>
      <c r="M88" s="15"/>
      <c r="N88" s="14"/>
      <c r="O88" s="15"/>
      <c r="P88" s="14"/>
      <c r="Q88" s="14" t="s">
        <v>44</v>
      </c>
      <c r="R88" s="14" t="s">
        <v>45</v>
      </c>
    </row>
    <row r="89" spans="1:18" x14ac:dyDescent="0.25">
      <c r="A89" s="11" t="str">
        <f>IF(OR($E89="",$G89="",$H89="",$Q89="",$R89=""),"",PREFIJO&amp;TEXT(SUMPRODUCT(($E$2:$E89&lt;&gt;"")*($G$2:$G89&lt;&gt;"")*($H$2:$H89&lt;&gt;"")*($Q$2:$Q89&lt;&gt;"")*($R$2:$R89&lt;&gt;"")),"0000"))</f>
        <v>MP-0088</v>
      </c>
      <c r="B89" s="11" t="s">
        <v>53</v>
      </c>
      <c r="C89" s="14" t="s">
        <v>61</v>
      </c>
      <c r="D89" s="14" t="s">
        <v>351</v>
      </c>
      <c r="E89" s="14" t="s">
        <v>374</v>
      </c>
      <c r="F89" s="14" t="s">
        <v>424</v>
      </c>
      <c r="G89" s="14" t="s">
        <v>425</v>
      </c>
      <c r="H89" s="14" t="s">
        <v>41</v>
      </c>
      <c r="I89" s="11" t="str">
        <f t="shared" ca="1" si="4"/>
        <v>CV-01</v>
      </c>
      <c r="J89" s="14"/>
      <c r="K89" s="15"/>
      <c r="L89" s="14"/>
      <c r="M89" s="15"/>
      <c r="N89" s="14"/>
      <c r="O89" s="15"/>
      <c r="P89" s="14"/>
      <c r="Q89" s="14" t="s">
        <v>44</v>
      </c>
      <c r="R89" s="14" t="s">
        <v>45</v>
      </c>
    </row>
    <row r="90" spans="1:18" x14ac:dyDescent="0.25">
      <c r="A90" s="11" t="str">
        <f>IF(OR($E90="",$G90="",$H90="",$Q90="",$R90=""),"",PREFIJO&amp;TEXT(SUMPRODUCT(($E$2:$E90&lt;&gt;"")*($G$2:$G90&lt;&gt;"")*($H$2:$H90&lt;&gt;"")*($Q$2:$Q90&lt;&gt;"")*($R$2:$R90&lt;&gt;"")),"0000"))</f>
        <v>MP-0089</v>
      </c>
      <c r="B90" s="11" t="s">
        <v>53</v>
      </c>
      <c r="C90" s="14" t="s">
        <v>61</v>
      </c>
      <c r="D90" s="14" t="s">
        <v>351</v>
      </c>
      <c r="E90" s="14" t="s">
        <v>375</v>
      </c>
      <c r="F90" s="14" t="s">
        <v>411</v>
      </c>
      <c r="G90" s="14" t="s">
        <v>425</v>
      </c>
      <c r="H90" s="14" t="s">
        <v>41</v>
      </c>
      <c r="I90" s="11" t="str">
        <f t="shared" ca="1" si="4"/>
        <v>CV-01</v>
      </c>
      <c r="J90" s="14"/>
      <c r="K90" s="15"/>
      <c r="L90" s="14"/>
      <c r="M90" s="15"/>
      <c r="N90" s="14"/>
      <c r="O90" s="15"/>
      <c r="P90" s="14"/>
      <c r="Q90" s="14" t="s">
        <v>44</v>
      </c>
      <c r="R90" s="14" t="s">
        <v>45</v>
      </c>
    </row>
    <row r="91" spans="1:18" x14ac:dyDescent="0.25">
      <c r="A91" s="11" t="str">
        <f>IF(OR($E91="",$G91="",$H91="",$Q91="",$R91=""),"",PREFIJO&amp;TEXT(SUMPRODUCT(($E$2:$E91&lt;&gt;"")*($G$2:$G91&lt;&gt;"")*($H$2:$H91&lt;&gt;"")*($Q$2:$Q91&lt;&gt;"")*($R$2:$R91&lt;&gt;"")),"0000"))</f>
        <v>MP-0090</v>
      </c>
      <c r="B91" s="11" t="s">
        <v>53</v>
      </c>
      <c r="C91" s="14" t="s">
        <v>61</v>
      </c>
      <c r="D91" s="14" t="s">
        <v>351</v>
      </c>
      <c r="E91" s="14" t="s">
        <v>376</v>
      </c>
      <c r="F91" s="14" t="s">
        <v>412</v>
      </c>
      <c r="G91" s="14" t="s">
        <v>425</v>
      </c>
      <c r="H91" s="14" t="s">
        <v>41</v>
      </c>
      <c r="I91" s="11" t="str">
        <f t="shared" ca="1" si="4"/>
        <v>CV-01</v>
      </c>
      <c r="J91" s="14"/>
      <c r="K91" s="15"/>
      <c r="L91" s="14"/>
      <c r="M91" s="15"/>
      <c r="N91" s="14"/>
      <c r="O91" s="15"/>
      <c r="P91" s="14"/>
      <c r="Q91" s="14" t="s">
        <v>44</v>
      </c>
      <c r="R91" s="14" t="s">
        <v>45</v>
      </c>
    </row>
    <row r="92" spans="1:18" x14ac:dyDescent="0.25">
      <c r="A92" s="11" t="str">
        <f>IF(OR($E92="",$G92="",$H92="",$Q92="",$R92=""),"",PREFIJO&amp;TEXT(SUMPRODUCT(($E$2:$E92&lt;&gt;"")*($G$2:$G92&lt;&gt;"")*($H$2:$H92&lt;&gt;"")*($Q$2:$Q92&lt;&gt;"")*($R$2:$R92&lt;&gt;"")),"0000"))</f>
        <v>MP-0091</v>
      </c>
      <c r="B92" s="11" t="s">
        <v>53</v>
      </c>
      <c r="C92" s="14" t="s">
        <v>61</v>
      </c>
      <c r="D92" s="14" t="s">
        <v>349</v>
      </c>
      <c r="E92" s="14" t="s">
        <v>377</v>
      </c>
      <c r="F92" s="14" t="s">
        <v>423</v>
      </c>
      <c r="G92" s="14" t="s">
        <v>425</v>
      </c>
      <c r="H92" s="14" t="s">
        <v>41</v>
      </c>
      <c r="I92" s="11" t="str">
        <f t="shared" ca="1" si="4"/>
        <v>CV-01</v>
      </c>
      <c r="J92" s="14"/>
      <c r="K92" s="15"/>
      <c r="L92" s="14"/>
      <c r="M92" s="15"/>
      <c r="N92" s="14"/>
      <c r="O92" s="15"/>
      <c r="P92" s="14"/>
      <c r="Q92" s="14" t="s">
        <v>44</v>
      </c>
      <c r="R92" s="14" t="s">
        <v>45</v>
      </c>
    </row>
    <row r="93" spans="1:18" x14ac:dyDescent="0.25">
      <c r="A93" s="11" t="str">
        <f>IF(OR($E93="",$G93="",$H93="",$Q93="",$R93=""),"",PREFIJO&amp;TEXT(SUMPRODUCT(($E$2:$E93&lt;&gt;"")*($G$2:$G93&lt;&gt;"")*($H$2:$H93&lt;&gt;"")*($Q$2:$Q93&lt;&gt;"")*($R$2:$R93&lt;&gt;"")),"0000"))</f>
        <v>MP-0092</v>
      </c>
      <c r="B93" s="11" t="s">
        <v>53</v>
      </c>
      <c r="C93" s="14" t="s">
        <v>61</v>
      </c>
      <c r="D93" s="14" t="s">
        <v>349</v>
      </c>
      <c r="E93" s="14" t="s">
        <v>378</v>
      </c>
      <c r="F93" s="14" t="s">
        <v>413</v>
      </c>
      <c r="G93" s="14" t="s">
        <v>425</v>
      </c>
      <c r="H93" s="14" t="s">
        <v>41</v>
      </c>
      <c r="I93" s="11" t="str">
        <f t="shared" ca="1" si="4"/>
        <v>CV-01</v>
      </c>
      <c r="J93" s="14"/>
      <c r="K93" s="15"/>
      <c r="L93" s="14"/>
      <c r="M93" s="15"/>
      <c r="N93" s="14"/>
      <c r="O93" s="15"/>
      <c r="P93" s="14"/>
      <c r="Q93" s="14" t="s">
        <v>44</v>
      </c>
      <c r="R93" s="14" t="s">
        <v>45</v>
      </c>
    </row>
    <row r="94" spans="1:18" x14ac:dyDescent="0.25">
      <c r="A94" s="11" t="str">
        <f>IF(OR($E94="",$G94="",$H94="",$Q94="",$R94=""),"",PREFIJO&amp;TEXT(SUMPRODUCT(($E$2:$E94&lt;&gt;"")*($G$2:$G94&lt;&gt;"")*($H$2:$H94&lt;&gt;"")*($Q$2:$Q94&lt;&gt;"")*($R$2:$R94&lt;&gt;"")),"0000"))</f>
        <v>MP-0093</v>
      </c>
      <c r="B94" s="11" t="s">
        <v>53</v>
      </c>
      <c r="C94" s="14" t="s">
        <v>61</v>
      </c>
      <c r="D94" s="14" t="s">
        <v>350</v>
      </c>
      <c r="E94" s="14" t="s">
        <v>379</v>
      </c>
      <c r="F94" s="14" t="s">
        <v>414</v>
      </c>
      <c r="G94" s="14" t="s">
        <v>425</v>
      </c>
      <c r="H94" s="14" t="s">
        <v>41</v>
      </c>
      <c r="I94" s="11" t="str">
        <f t="shared" ca="1" si="4"/>
        <v>CV-01</v>
      </c>
      <c r="J94" s="14"/>
      <c r="K94" s="15"/>
      <c r="L94" s="14"/>
      <c r="M94" s="15"/>
      <c r="N94" s="14"/>
      <c r="O94" s="15"/>
      <c r="P94" s="14"/>
      <c r="Q94" s="14" t="s">
        <v>44</v>
      </c>
      <c r="R94" s="14" t="s">
        <v>45</v>
      </c>
    </row>
    <row r="95" spans="1:18" x14ac:dyDescent="0.25">
      <c r="A95" s="11" t="str">
        <f>IF(OR($E95="",$G95="",$H95="",$Q95="",$R95=""),"",PREFIJO&amp;TEXT(SUMPRODUCT(($E$2:$E95&lt;&gt;"")*($G$2:$G95&lt;&gt;"")*($H$2:$H95&lt;&gt;"")*($Q$2:$Q95&lt;&gt;"")*($R$2:$R95&lt;&gt;"")),"0000"))</f>
        <v>MP-0094</v>
      </c>
      <c r="B95" s="11" t="s">
        <v>53</v>
      </c>
      <c r="C95" s="14" t="s">
        <v>61</v>
      </c>
      <c r="D95" s="14" t="s">
        <v>349</v>
      </c>
      <c r="E95" s="14" t="s">
        <v>381</v>
      </c>
      <c r="F95" s="14" t="s">
        <v>415</v>
      </c>
      <c r="G95" s="14" t="s">
        <v>425</v>
      </c>
      <c r="H95" s="14" t="s">
        <v>41</v>
      </c>
      <c r="I95" s="11" t="str">
        <f t="shared" ca="1" si="4"/>
        <v>CV-01</v>
      </c>
      <c r="J95" s="14"/>
      <c r="K95" s="15"/>
      <c r="L95" s="14"/>
      <c r="M95" s="15"/>
      <c r="N95" s="14"/>
      <c r="O95" s="15"/>
      <c r="P95" s="14"/>
      <c r="Q95" s="14" t="s">
        <v>44</v>
      </c>
      <c r="R95" s="14" t="s">
        <v>45</v>
      </c>
    </row>
    <row r="96" spans="1:18" x14ac:dyDescent="0.25">
      <c r="A96" s="11" t="str">
        <f>IF(OR($E96="",$G96="",$H96="",$Q96="",$R96=""),"",PREFIJO&amp;TEXT(SUMPRODUCT(($E$2:$E96&lt;&gt;"")*($G$2:$G96&lt;&gt;"")*($H$2:$H96&lt;&gt;"")*($Q$2:$Q96&lt;&gt;"")*($R$2:$R96&lt;&gt;"")),"0000"))</f>
        <v>MP-0095</v>
      </c>
      <c r="B96" s="11" t="s">
        <v>53</v>
      </c>
      <c r="C96" s="14" t="s">
        <v>61</v>
      </c>
      <c r="D96" s="14" t="s">
        <v>349</v>
      </c>
      <c r="E96" s="14" t="s">
        <v>382</v>
      </c>
      <c r="F96" s="14" t="s">
        <v>416</v>
      </c>
      <c r="G96" s="14" t="s">
        <v>425</v>
      </c>
      <c r="H96" s="14" t="s">
        <v>41</v>
      </c>
      <c r="I96" s="11" t="str">
        <f t="shared" ca="1" si="4"/>
        <v>CV-01</v>
      </c>
      <c r="J96" s="14"/>
      <c r="K96" s="15"/>
      <c r="L96" s="14"/>
      <c r="M96" s="15"/>
      <c r="N96" s="14"/>
      <c r="O96" s="15"/>
      <c r="P96" s="14"/>
      <c r="Q96" s="14" t="s">
        <v>44</v>
      </c>
      <c r="R96" s="14" t="s">
        <v>45</v>
      </c>
    </row>
    <row r="97" spans="1:18" x14ac:dyDescent="0.25">
      <c r="A97" s="11" t="str">
        <f>IF(OR($E97="",$G97="",$H97="",$Q97="",$R97=""),"",PREFIJO&amp;TEXT(SUMPRODUCT(($E$2:$E97&lt;&gt;"")*($G$2:$G97&lt;&gt;"")*($H$2:$H97&lt;&gt;"")*($Q$2:$Q97&lt;&gt;"")*($R$2:$R97&lt;&gt;"")),"0000"))</f>
        <v>MP-0096</v>
      </c>
      <c r="B97" s="11" t="s">
        <v>53</v>
      </c>
      <c r="C97" s="14" t="s">
        <v>61</v>
      </c>
      <c r="D97" s="14" t="s">
        <v>350</v>
      </c>
      <c r="E97" s="14" t="s">
        <v>383</v>
      </c>
      <c r="F97" s="14" t="s">
        <v>417</v>
      </c>
      <c r="G97" s="14" t="s">
        <v>425</v>
      </c>
      <c r="H97" s="14" t="s">
        <v>41</v>
      </c>
      <c r="I97" s="11" t="str">
        <f t="shared" ca="1" si="4"/>
        <v>CV-01</v>
      </c>
      <c r="J97" s="14"/>
      <c r="K97" s="15"/>
      <c r="L97" s="14"/>
      <c r="M97" s="15"/>
      <c r="N97" s="14"/>
      <c r="O97" s="15"/>
      <c r="P97" s="14"/>
      <c r="Q97" s="14" t="s">
        <v>44</v>
      </c>
      <c r="R97" s="14" t="s">
        <v>45</v>
      </c>
    </row>
    <row r="98" spans="1:18" x14ac:dyDescent="0.25">
      <c r="A98" s="11" t="str">
        <f>IF(OR($E98="",$G98="",$H98="",$Q98="",$R98=""),"",PREFIJO&amp;TEXT(SUMPRODUCT(($E$2:$E98&lt;&gt;"")*($G$2:$G98&lt;&gt;"")*($H$2:$H98&lt;&gt;"")*($Q$2:$Q98&lt;&gt;"")*($R$2:$R98&lt;&gt;"")),"0000"))</f>
        <v>MP-0097</v>
      </c>
      <c r="B98" s="11" t="s">
        <v>53</v>
      </c>
      <c r="C98" s="14" t="s">
        <v>61</v>
      </c>
      <c r="D98" s="14" t="s">
        <v>350</v>
      </c>
      <c r="E98" s="14" t="s">
        <v>384</v>
      </c>
      <c r="F98" s="14" t="s">
        <v>418</v>
      </c>
      <c r="G98" s="14" t="s">
        <v>425</v>
      </c>
      <c r="H98" s="14" t="s">
        <v>41</v>
      </c>
      <c r="I98" s="11" t="str">
        <f t="shared" ca="1" si="4"/>
        <v>CV-01</v>
      </c>
      <c r="J98" s="14"/>
      <c r="K98" s="15"/>
      <c r="L98" s="14"/>
      <c r="M98" s="15"/>
      <c r="N98" s="14"/>
      <c r="O98" s="15"/>
      <c r="P98" s="14"/>
      <c r="Q98" s="14" t="s">
        <v>44</v>
      </c>
      <c r="R98" s="14" t="s">
        <v>45</v>
      </c>
    </row>
    <row r="99" spans="1:18" x14ac:dyDescent="0.25">
      <c r="A99" s="11" t="str">
        <f>IF(OR($E99="",$G99="",$H99="",$Q99="",$R99=""),"",PREFIJO&amp;TEXT(SUMPRODUCT(($E$2:$E99&lt;&gt;"")*($G$2:$G99&lt;&gt;"")*($H$2:$H99&lt;&gt;"")*($Q$2:$Q99&lt;&gt;"")*($R$2:$R99&lt;&gt;"")),"0000"))</f>
        <v>MP-0098</v>
      </c>
      <c r="B99" s="11" t="s">
        <v>53</v>
      </c>
      <c r="C99" s="14" t="s">
        <v>61</v>
      </c>
      <c r="D99" s="14" t="s">
        <v>349</v>
      </c>
      <c r="E99" s="14" t="s">
        <v>385</v>
      </c>
      <c r="F99" s="14" t="s">
        <v>419</v>
      </c>
      <c r="G99" s="14" t="s">
        <v>425</v>
      </c>
      <c r="H99" s="14" t="s">
        <v>41</v>
      </c>
      <c r="I99" s="11" t="str">
        <f t="shared" ca="1" si="4"/>
        <v>CV-01</v>
      </c>
      <c r="J99" s="14"/>
      <c r="K99" s="15"/>
      <c r="L99" s="14"/>
      <c r="M99" s="15"/>
      <c r="N99" s="14"/>
      <c r="O99" s="15"/>
      <c r="P99" s="14"/>
      <c r="Q99" s="14" t="s">
        <v>44</v>
      </c>
      <c r="R99" s="14" t="s">
        <v>45</v>
      </c>
    </row>
    <row r="100" spans="1:18" x14ac:dyDescent="0.25">
      <c r="A100" s="11" t="str">
        <f>IF(OR($E100="",$G100="",$H100="",$Q100="",$R100=""),"",PREFIJO&amp;TEXT(SUMPRODUCT(($E$2:$E100&lt;&gt;"")*($G$2:$G100&lt;&gt;"")*($H$2:$H100&lt;&gt;"")*($Q$2:$Q100&lt;&gt;"")*($R$2:$R100&lt;&gt;"")),"0000"))</f>
        <v>MP-0099</v>
      </c>
      <c r="B100" s="11" t="s">
        <v>53</v>
      </c>
      <c r="C100" s="14" t="s">
        <v>61</v>
      </c>
      <c r="D100" s="14" t="s">
        <v>349</v>
      </c>
      <c r="E100" s="14" t="s">
        <v>386</v>
      </c>
      <c r="F100" s="14" t="s">
        <v>420</v>
      </c>
      <c r="G100" s="14" t="s">
        <v>425</v>
      </c>
      <c r="H100" s="14" t="s">
        <v>41</v>
      </c>
      <c r="I100" s="11" t="str">
        <f t="shared" ca="1" si="4"/>
        <v>CV-01</v>
      </c>
      <c r="J100" s="14"/>
      <c r="K100" s="15"/>
      <c r="L100" s="14"/>
      <c r="M100" s="15"/>
      <c r="N100" s="14"/>
      <c r="O100" s="15"/>
      <c r="P100" s="14"/>
      <c r="Q100" s="14" t="s">
        <v>44</v>
      </c>
      <c r="R100" s="14" t="s">
        <v>45</v>
      </c>
    </row>
    <row r="101" spans="1:18" x14ac:dyDescent="0.25">
      <c r="A101" s="11" t="str">
        <f>IF(OR($E101="",$G101="",$H101="",$Q101="",$R101=""),"",PREFIJO&amp;TEXT(SUMPRODUCT(($E$2:$E101&lt;&gt;"")*($G$2:$G101&lt;&gt;"")*($H$2:$H101&lt;&gt;"")*($Q$2:$Q101&lt;&gt;"")*($R$2:$R101&lt;&gt;"")),"0000"))</f>
        <v>MP-0100</v>
      </c>
      <c r="B101" s="11" t="s">
        <v>53</v>
      </c>
      <c r="C101" s="14" t="s">
        <v>61</v>
      </c>
      <c r="D101" s="14" t="s">
        <v>349</v>
      </c>
      <c r="E101" s="14" t="s">
        <v>387</v>
      </c>
      <c r="F101" s="14" t="s">
        <v>421</v>
      </c>
      <c r="G101" s="14" t="s">
        <v>425</v>
      </c>
      <c r="H101" s="14" t="s">
        <v>41</v>
      </c>
      <c r="I101" s="11" t="str">
        <f t="shared" ca="1" si="4"/>
        <v>CV-01</v>
      </c>
      <c r="J101" s="14"/>
      <c r="K101" s="15"/>
      <c r="L101" s="14"/>
      <c r="M101" s="15"/>
      <c r="N101" s="14"/>
      <c r="O101" s="15"/>
      <c r="P101" s="14"/>
      <c r="Q101" s="14" t="s">
        <v>44</v>
      </c>
      <c r="R101" s="14" t="s">
        <v>45</v>
      </c>
    </row>
    <row r="102" spans="1:18" x14ac:dyDescent="0.25">
      <c r="A102" s="11" t="str">
        <f>IF(OR($E102="",$G102="",$H102="",$Q102="",$R102=""),"",PREFIJO&amp;TEXT(SUMPRODUCT(($E$2:$E102&lt;&gt;"")*($G$2:$G102&lt;&gt;"")*($H$2:$H102&lt;&gt;"")*($Q$2:$Q102&lt;&gt;"")*($R$2:$R102&lt;&gt;"")),"0000"))</f>
        <v>MP-0101</v>
      </c>
      <c r="B102" s="11" t="s">
        <v>53</v>
      </c>
      <c r="C102" s="14" t="s">
        <v>61</v>
      </c>
      <c r="D102" s="14" t="s">
        <v>349</v>
      </c>
      <c r="E102" s="14" t="s">
        <v>388</v>
      </c>
      <c r="F102" s="14" t="s">
        <v>422</v>
      </c>
      <c r="G102" s="14" t="s">
        <v>425</v>
      </c>
      <c r="H102" s="14" t="s">
        <v>41</v>
      </c>
      <c r="I102" s="11" t="str">
        <f t="shared" ca="1" si="4"/>
        <v>CV-01</v>
      </c>
      <c r="J102" s="14"/>
      <c r="K102" s="15"/>
      <c r="L102" s="14"/>
      <c r="M102" s="15"/>
      <c r="N102" s="14"/>
      <c r="O102" s="15"/>
      <c r="P102" s="14"/>
      <c r="Q102" s="14" t="s">
        <v>44</v>
      </c>
      <c r="R102" s="14" t="s">
        <v>45</v>
      </c>
    </row>
    <row r="103" spans="1:18" x14ac:dyDescent="0.25">
      <c r="A103" s="11" t="str">
        <f>IF(OR($E103="",$G103="",$H103="",$Q103="",$R103=""),"",PREFIJO&amp;TEXT(SUMPRODUCT(($E$2:$E103&lt;&gt;"")*($G$2:$G103&lt;&gt;"")*($H$2:$H103&lt;&gt;"")*($Q$2:$Q103&lt;&gt;"")*($R$2:$R103&lt;&gt;"")),"0000"))</f>
        <v/>
      </c>
      <c r="B103" s="11" t="str">
        <f t="shared" ref="B103:B109" si="5">IF($A103="","",GRUPO_NOMBRE)</f>
        <v/>
      </c>
      <c r="C103" s="14"/>
      <c r="D103" s="14"/>
      <c r="E103" s="14"/>
      <c r="F103" s="14"/>
      <c r="G103" s="14"/>
      <c r="H103" s="14"/>
      <c r="I103" s="11" t="str">
        <f t="shared" si="4"/>
        <v/>
      </c>
      <c r="J103" s="14"/>
      <c r="K103" s="15"/>
      <c r="L103" s="14"/>
      <c r="M103" s="15"/>
      <c r="N103" s="14"/>
      <c r="O103" s="15"/>
      <c r="P103" s="14"/>
      <c r="Q103" s="14"/>
      <c r="R103" s="14"/>
    </row>
    <row r="104" spans="1:18" x14ac:dyDescent="0.25">
      <c r="A104" s="11" t="str">
        <f>IF(OR($E104="",$G104="",$H104="",$Q104="",$R104=""),"",PREFIJO&amp;TEXT(SUMPRODUCT(($E$2:$E104&lt;&gt;"")*($G$2:$G104&lt;&gt;"")*($H$2:$H104&lt;&gt;"")*($Q$2:$Q104&lt;&gt;"")*($R$2:$R104&lt;&gt;"")),"0000"))</f>
        <v/>
      </c>
      <c r="B104" s="11" t="str">
        <f t="shared" si="5"/>
        <v/>
      </c>
      <c r="C104" s="14"/>
      <c r="D104" s="14"/>
      <c r="E104" s="14"/>
      <c r="F104" s="14"/>
      <c r="G104" s="14"/>
      <c r="H104" s="14"/>
      <c r="I104" s="11" t="str">
        <f t="shared" si="4"/>
        <v/>
      </c>
      <c r="J104" s="14"/>
      <c r="K104" s="15"/>
      <c r="L104" s="14"/>
      <c r="M104" s="15"/>
      <c r="N104" s="14"/>
      <c r="O104" s="15"/>
      <c r="P104" s="14"/>
      <c r="Q104" s="14"/>
      <c r="R104" s="14"/>
    </row>
    <row r="105" spans="1:18" x14ac:dyDescent="0.25">
      <c r="A105" s="11" t="str">
        <f>IF(OR($E105="",$G105="",$H105="",$Q105="",$R105=""),"",PREFIJO&amp;TEXT(SUMPRODUCT(($E$2:$E105&lt;&gt;"")*($G$2:$G105&lt;&gt;"")*($H$2:$H105&lt;&gt;"")*($Q$2:$Q105&lt;&gt;"")*($R$2:$R105&lt;&gt;"")),"0000"))</f>
        <v/>
      </c>
      <c r="B105" s="11" t="str">
        <f t="shared" si="5"/>
        <v/>
      </c>
      <c r="C105" s="14"/>
      <c r="D105" s="14"/>
      <c r="E105" s="14"/>
      <c r="F105" s="14"/>
      <c r="G105" s="14"/>
      <c r="H105" s="14"/>
      <c r="I105" s="11" t="str">
        <f t="shared" si="4"/>
        <v/>
      </c>
      <c r="J105" s="14"/>
      <c r="K105" s="15"/>
      <c r="L105" s="14"/>
      <c r="M105" s="15"/>
      <c r="N105" s="14"/>
      <c r="O105" s="15"/>
      <c r="P105" s="14"/>
      <c r="Q105" s="14"/>
      <c r="R105" s="14"/>
    </row>
    <row r="106" spans="1:18" x14ac:dyDescent="0.25">
      <c r="A106" s="11" t="str">
        <f>IF(OR($E106="",$G106="",$H106="",$Q106="",$R106=""),"",PREFIJO&amp;TEXT(SUMPRODUCT(($E$2:$E106&lt;&gt;"")*($G$2:$G106&lt;&gt;"")*($H$2:$H106&lt;&gt;"")*($Q$2:$Q106&lt;&gt;"")*($R$2:$R106&lt;&gt;"")),"0000"))</f>
        <v/>
      </c>
      <c r="B106" s="11" t="str">
        <f t="shared" si="5"/>
        <v/>
      </c>
      <c r="C106" s="14"/>
      <c r="D106" s="14"/>
      <c r="E106" s="14"/>
      <c r="F106" s="14"/>
      <c r="G106" s="14"/>
      <c r="H106" s="14"/>
      <c r="I106" s="11" t="str">
        <f t="shared" si="4"/>
        <v/>
      </c>
      <c r="J106" s="14"/>
      <c r="K106" s="15"/>
      <c r="L106" s="14"/>
      <c r="M106" s="15"/>
      <c r="N106" s="14"/>
      <c r="O106" s="15"/>
      <c r="P106" s="14"/>
      <c r="Q106" s="14"/>
      <c r="R106" s="14"/>
    </row>
    <row r="107" spans="1:18" x14ac:dyDescent="0.25">
      <c r="A107" s="11" t="str">
        <f>IF(OR($E107="",$G107="",$H107="",$Q107="",$R107=""),"",PREFIJO&amp;TEXT(SUMPRODUCT(($E$2:$E107&lt;&gt;"")*($G$2:$G107&lt;&gt;"")*($H$2:$H107&lt;&gt;"")*($Q$2:$Q107&lt;&gt;"")*($R$2:$R107&lt;&gt;"")),"0000"))</f>
        <v/>
      </c>
      <c r="B107" s="11" t="str">
        <f t="shared" si="5"/>
        <v/>
      </c>
      <c r="C107" s="14"/>
      <c r="D107" s="14"/>
      <c r="E107" s="14"/>
      <c r="F107" s="14"/>
      <c r="G107" s="14"/>
      <c r="H107" s="14"/>
      <c r="I107" s="11" t="str">
        <f t="shared" si="4"/>
        <v/>
      </c>
      <c r="J107" s="14"/>
      <c r="K107" s="15"/>
      <c r="L107" s="14"/>
      <c r="M107" s="15"/>
      <c r="N107" s="14"/>
      <c r="O107" s="15"/>
      <c r="P107" s="14"/>
      <c r="Q107" s="14"/>
      <c r="R107" s="14"/>
    </row>
    <row r="108" spans="1:18" x14ac:dyDescent="0.25">
      <c r="A108" s="11" t="str">
        <f>IF(OR($E108="",$G108="",$H108="",$Q108="",$R108=""),"",PREFIJO&amp;TEXT(SUMPRODUCT(($E$2:$E108&lt;&gt;"")*($G$2:$G108&lt;&gt;"")*($H$2:$H108&lt;&gt;"")*($Q$2:$Q108&lt;&gt;"")*($R$2:$R108&lt;&gt;"")),"0000"))</f>
        <v/>
      </c>
      <c r="B108" s="11" t="str">
        <f t="shared" si="5"/>
        <v/>
      </c>
      <c r="C108" s="14"/>
      <c r="D108" s="14"/>
      <c r="E108" s="14"/>
      <c r="F108" s="14"/>
      <c r="G108" s="14"/>
      <c r="H108" s="14"/>
      <c r="I108" s="11" t="str">
        <f t="shared" si="4"/>
        <v/>
      </c>
      <c r="J108" s="14"/>
      <c r="K108" s="15"/>
      <c r="L108" s="14"/>
      <c r="M108" s="15"/>
      <c r="N108" s="14"/>
      <c r="O108" s="15"/>
      <c r="P108" s="14"/>
      <c r="Q108" s="14"/>
      <c r="R108" s="14"/>
    </row>
    <row r="109" spans="1:18" x14ac:dyDescent="0.25">
      <c r="A109" s="11" t="str">
        <f>IF(OR($E109="",$G109="",$H109="",$Q109="",$R109=""),"",PREFIJO&amp;TEXT(SUMPRODUCT(($E$2:$E109&lt;&gt;"")*($G$2:$G109&lt;&gt;"")*($H$2:$H109&lt;&gt;"")*($Q$2:$Q109&lt;&gt;"")*($R$2:$R109&lt;&gt;"")),"0000"))</f>
        <v/>
      </c>
      <c r="B109" s="11" t="str">
        <f t="shared" si="5"/>
        <v/>
      </c>
      <c r="C109" s="14"/>
      <c r="D109" s="14"/>
      <c r="E109" s="14"/>
      <c r="F109" s="14"/>
      <c r="G109" s="14"/>
      <c r="H109" s="14"/>
      <c r="I109" s="11" t="str">
        <f t="shared" si="4"/>
        <v/>
      </c>
      <c r="J109" s="14"/>
      <c r="K109" s="15"/>
      <c r="L109" s="14"/>
      <c r="M109" s="15"/>
      <c r="N109" s="14"/>
      <c r="O109" s="15"/>
      <c r="P109" s="14"/>
      <c r="Q109" s="14"/>
      <c r="R109" s="14"/>
    </row>
    <row r="110" spans="1:18" x14ac:dyDescent="0.25">
      <c r="A110" s="11" t="str">
        <f>IF(OR($E110="",$G110="",$H110="",$Q110="",$R110=""),"",PREFIJO&amp;TEXT(SUMPRODUCT(($E$2:$E110&lt;&gt;"")*($G$2:$G110&lt;&gt;"")*($H$2:$H110&lt;&gt;"")*($Q$2:$Q110&lt;&gt;"")*($R$2:$R110&lt;&gt;"")),"0000"))</f>
        <v/>
      </c>
      <c r="B110" s="11" t="str">
        <f t="shared" ref="B110:B141" si="6">IF($A110="","",GRUPO_NOMBRE)</f>
        <v/>
      </c>
      <c r="C110" s="14"/>
      <c r="D110" s="14"/>
      <c r="E110" s="14"/>
      <c r="F110" s="14"/>
      <c r="G110" s="14"/>
      <c r="H110" s="14"/>
      <c r="I110" s="11" t="str">
        <f t="shared" ref="I110:I141" si="7">IF($C110="","",IFERROR(INDEX(CAT_CV,MATCH($C110,CAT_NOMBRE,0)),""))</f>
        <v/>
      </c>
      <c r="J110" s="14"/>
      <c r="K110" s="15"/>
      <c r="L110" s="14"/>
      <c r="M110" s="15"/>
      <c r="N110" s="14"/>
      <c r="O110" s="15"/>
      <c r="P110" s="14"/>
      <c r="Q110" s="14"/>
      <c r="R110" s="14"/>
    </row>
    <row r="111" spans="1:18" x14ac:dyDescent="0.25">
      <c r="A111" s="11" t="str">
        <f>IF(OR($E111="",$G111="",$H111="",$Q111="",$R111=""),"",PREFIJO&amp;TEXT(SUMPRODUCT(($E$2:$E111&lt;&gt;"")*($G$2:$G111&lt;&gt;"")*($H$2:$H111&lt;&gt;"")*($Q$2:$Q111&lt;&gt;"")*($R$2:$R111&lt;&gt;"")),"0000"))</f>
        <v/>
      </c>
      <c r="B111" s="11" t="str">
        <f t="shared" si="6"/>
        <v/>
      </c>
      <c r="C111" s="14"/>
      <c r="D111" s="14"/>
      <c r="E111" s="14"/>
      <c r="F111" s="14"/>
      <c r="G111" s="14"/>
      <c r="H111" s="14"/>
      <c r="I111" s="11" t="str">
        <f t="shared" si="7"/>
        <v/>
      </c>
      <c r="J111" s="14"/>
      <c r="K111" s="15"/>
      <c r="L111" s="14"/>
      <c r="M111" s="15"/>
      <c r="N111" s="14"/>
      <c r="O111" s="15"/>
      <c r="P111" s="14"/>
      <c r="Q111" s="14"/>
      <c r="R111" s="14"/>
    </row>
    <row r="112" spans="1:18" x14ac:dyDescent="0.25">
      <c r="A112" s="11" t="str">
        <f>IF(OR($E112="",$G112="",$H112="",$Q112="",$R112=""),"",PREFIJO&amp;TEXT(SUMPRODUCT(($E$2:$E112&lt;&gt;"")*($G$2:$G112&lt;&gt;"")*($H$2:$H112&lt;&gt;"")*($Q$2:$Q112&lt;&gt;"")*($R$2:$R112&lt;&gt;"")),"0000"))</f>
        <v/>
      </c>
      <c r="B112" s="11" t="str">
        <f t="shared" si="6"/>
        <v/>
      </c>
      <c r="C112" s="14"/>
      <c r="D112" s="14"/>
      <c r="E112" s="14"/>
      <c r="F112" s="14"/>
      <c r="G112" s="14"/>
      <c r="H112" s="14"/>
      <c r="I112" s="11" t="str">
        <f t="shared" si="7"/>
        <v/>
      </c>
      <c r="J112" s="14"/>
      <c r="K112" s="15"/>
      <c r="L112" s="14"/>
      <c r="M112" s="15"/>
      <c r="N112" s="14"/>
      <c r="O112" s="15"/>
      <c r="P112" s="14"/>
      <c r="Q112" s="14"/>
      <c r="R112" s="14"/>
    </row>
    <row r="113" spans="1:18" x14ac:dyDescent="0.25">
      <c r="A113" s="11" t="str">
        <f>IF(OR($E113="",$G113="",$H113="",$Q113="",$R113=""),"",PREFIJO&amp;TEXT(SUMPRODUCT(($E$2:$E113&lt;&gt;"")*($G$2:$G113&lt;&gt;"")*($H$2:$H113&lt;&gt;"")*($Q$2:$Q113&lt;&gt;"")*($R$2:$R113&lt;&gt;"")),"0000"))</f>
        <v/>
      </c>
      <c r="B113" s="11" t="str">
        <f t="shared" si="6"/>
        <v/>
      </c>
      <c r="C113" s="14"/>
      <c r="D113" s="14"/>
      <c r="E113" s="14"/>
      <c r="F113" s="14"/>
      <c r="G113" s="14"/>
      <c r="H113" s="14"/>
      <c r="I113" s="11" t="str">
        <f t="shared" si="7"/>
        <v/>
      </c>
      <c r="J113" s="14"/>
      <c r="K113" s="15"/>
      <c r="L113" s="14"/>
      <c r="M113" s="15"/>
      <c r="N113" s="14"/>
      <c r="O113" s="15"/>
      <c r="P113" s="14"/>
      <c r="Q113" s="14"/>
      <c r="R113" s="14"/>
    </row>
    <row r="114" spans="1:18" x14ac:dyDescent="0.25">
      <c r="A114" s="11" t="str">
        <f>IF(OR($E114="",$G114="",$H114="",$Q114="",$R114=""),"",PREFIJO&amp;TEXT(SUMPRODUCT(($E$2:$E114&lt;&gt;"")*($G$2:$G114&lt;&gt;"")*($H$2:$H114&lt;&gt;"")*($Q$2:$Q114&lt;&gt;"")*($R$2:$R114&lt;&gt;"")),"0000"))</f>
        <v/>
      </c>
      <c r="B114" s="11" t="str">
        <f t="shared" si="6"/>
        <v/>
      </c>
      <c r="C114" s="14"/>
      <c r="D114" s="14"/>
      <c r="E114" s="14"/>
      <c r="F114" s="14"/>
      <c r="G114" s="14"/>
      <c r="H114" s="14"/>
      <c r="I114" s="11" t="str">
        <f t="shared" si="7"/>
        <v/>
      </c>
      <c r="J114" s="14"/>
      <c r="K114" s="15"/>
      <c r="L114" s="14"/>
      <c r="M114" s="15"/>
      <c r="N114" s="14"/>
      <c r="O114" s="15"/>
      <c r="P114" s="14"/>
      <c r="Q114" s="14"/>
      <c r="R114" s="14"/>
    </row>
    <row r="115" spans="1:18" x14ac:dyDescent="0.25">
      <c r="A115" s="11" t="str">
        <f>IF(OR($E115="",$G115="",$H115="",$Q115="",$R115=""),"",PREFIJO&amp;TEXT(SUMPRODUCT(($E$2:$E115&lt;&gt;"")*($G$2:$G115&lt;&gt;"")*($H$2:$H115&lt;&gt;"")*($Q$2:$Q115&lt;&gt;"")*($R$2:$R115&lt;&gt;"")),"0000"))</f>
        <v/>
      </c>
      <c r="B115" s="11" t="str">
        <f t="shared" si="6"/>
        <v/>
      </c>
      <c r="C115" s="14"/>
      <c r="D115" s="14"/>
      <c r="E115" s="14"/>
      <c r="F115" s="14"/>
      <c r="G115" s="14"/>
      <c r="H115" s="14"/>
      <c r="I115" s="11" t="str">
        <f t="shared" si="7"/>
        <v/>
      </c>
      <c r="J115" s="14"/>
      <c r="K115" s="15"/>
      <c r="L115" s="14"/>
      <c r="M115" s="15"/>
      <c r="N115" s="14"/>
      <c r="O115" s="15"/>
      <c r="P115" s="14"/>
      <c r="Q115" s="14"/>
      <c r="R115" s="14"/>
    </row>
    <row r="116" spans="1:18" x14ac:dyDescent="0.25">
      <c r="A116" s="11" t="str">
        <f>IF(OR($E116="",$G116="",$H116="",$Q116="",$R116=""),"",PREFIJO&amp;TEXT(SUMPRODUCT(($E$2:$E116&lt;&gt;"")*($G$2:$G116&lt;&gt;"")*($H$2:$H116&lt;&gt;"")*($Q$2:$Q116&lt;&gt;"")*($R$2:$R116&lt;&gt;"")),"0000"))</f>
        <v/>
      </c>
      <c r="B116" s="11" t="str">
        <f t="shared" si="6"/>
        <v/>
      </c>
      <c r="C116" s="14"/>
      <c r="D116" s="14"/>
      <c r="E116" s="14"/>
      <c r="F116" s="14"/>
      <c r="G116" s="14"/>
      <c r="H116" s="14"/>
      <c r="I116" s="11" t="str">
        <f t="shared" si="7"/>
        <v/>
      </c>
      <c r="J116" s="14"/>
      <c r="K116" s="15"/>
      <c r="L116" s="14"/>
      <c r="M116" s="15"/>
      <c r="N116" s="14"/>
      <c r="O116" s="15"/>
      <c r="P116" s="14"/>
      <c r="Q116" s="14"/>
      <c r="R116" s="14"/>
    </row>
    <row r="117" spans="1:18" x14ac:dyDescent="0.25">
      <c r="A117" s="11" t="str">
        <f>IF(OR($E117="",$G117="",$H117="",$Q117="",$R117=""),"",PREFIJO&amp;TEXT(SUMPRODUCT(($E$2:$E117&lt;&gt;"")*($G$2:$G117&lt;&gt;"")*($H$2:$H117&lt;&gt;"")*($Q$2:$Q117&lt;&gt;"")*($R$2:$R117&lt;&gt;"")),"0000"))</f>
        <v/>
      </c>
      <c r="B117" s="11" t="str">
        <f t="shared" si="6"/>
        <v/>
      </c>
      <c r="C117" s="14"/>
      <c r="D117" s="14"/>
      <c r="E117" s="14"/>
      <c r="F117" s="14"/>
      <c r="G117" s="14"/>
      <c r="H117" s="14"/>
      <c r="I117" s="11" t="str">
        <f t="shared" si="7"/>
        <v/>
      </c>
      <c r="J117" s="14"/>
      <c r="K117" s="15"/>
      <c r="L117" s="14"/>
      <c r="M117" s="15"/>
      <c r="N117" s="14"/>
      <c r="O117" s="15"/>
      <c r="P117" s="14"/>
      <c r="Q117" s="14"/>
      <c r="R117" s="14"/>
    </row>
    <row r="118" spans="1:18" x14ac:dyDescent="0.25">
      <c r="A118" s="11" t="str">
        <f>IF(OR($E118="",$G118="",$H118="",$Q118="",$R118=""),"",PREFIJO&amp;TEXT(SUMPRODUCT(($E$2:$E118&lt;&gt;"")*($G$2:$G118&lt;&gt;"")*($H$2:$H118&lt;&gt;"")*($Q$2:$Q118&lt;&gt;"")*($R$2:$R118&lt;&gt;"")),"0000"))</f>
        <v/>
      </c>
      <c r="B118" s="11" t="str">
        <f t="shared" si="6"/>
        <v/>
      </c>
      <c r="C118" s="14"/>
      <c r="D118" s="14"/>
      <c r="E118" s="14"/>
      <c r="F118" s="14"/>
      <c r="G118" s="14"/>
      <c r="H118" s="14"/>
      <c r="I118" s="11" t="str">
        <f t="shared" si="7"/>
        <v/>
      </c>
      <c r="J118" s="14"/>
      <c r="K118" s="15"/>
      <c r="L118" s="14"/>
      <c r="M118" s="15"/>
      <c r="N118" s="14"/>
      <c r="O118" s="15"/>
      <c r="P118" s="14"/>
      <c r="Q118" s="14"/>
      <c r="R118" s="14"/>
    </row>
    <row r="119" spans="1:18" x14ac:dyDescent="0.25">
      <c r="A119" s="11" t="str">
        <f>IF(OR($E119="",$G119="",$H119="",$Q119="",$R119=""),"",PREFIJO&amp;TEXT(SUMPRODUCT(($E$2:$E119&lt;&gt;"")*($G$2:$G119&lt;&gt;"")*($H$2:$H119&lt;&gt;"")*($Q$2:$Q119&lt;&gt;"")*($R$2:$R119&lt;&gt;"")),"0000"))</f>
        <v/>
      </c>
      <c r="B119" s="11" t="str">
        <f t="shared" si="6"/>
        <v/>
      </c>
      <c r="C119" s="14"/>
      <c r="D119" s="14"/>
      <c r="E119" s="14"/>
      <c r="F119" s="14"/>
      <c r="G119" s="14"/>
      <c r="H119" s="14"/>
      <c r="I119" s="11" t="str">
        <f t="shared" si="7"/>
        <v/>
      </c>
      <c r="J119" s="14"/>
      <c r="K119" s="15"/>
      <c r="L119" s="14"/>
      <c r="M119" s="15"/>
      <c r="N119" s="14"/>
      <c r="O119" s="15"/>
      <c r="P119" s="14"/>
      <c r="Q119" s="14"/>
      <c r="R119" s="14"/>
    </row>
    <row r="120" spans="1:18" x14ac:dyDescent="0.25">
      <c r="A120" s="11" t="str">
        <f>IF(OR($E120="",$G120="",$H120="",$Q120="",$R120=""),"",PREFIJO&amp;TEXT(SUMPRODUCT(($E$2:$E120&lt;&gt;"")*($G$2:$G120&lt;&gt;"")*($H$2:$H120&lt;&gt;"")*($Q$2:$Q120&lt;&gt;"")*($R$2:$R120&lt;&gt;"")),"0000"))</f>
        <v/>
      </c>
      <c r="B120" s="11" t="str">
        <f t="shared" si="6"/>
        <v/>
      </c>
      <c r="C120" s="14"/>
      <c r="D120" s="14"/>
      <c r="E120" s="14"/>
      <c r="F120" s="14"/>
      <c r="G120" s="14"/>
      <c r="H120" s="14"/>
      <c r="I120" s="11" t="str">
        <f t="shared" si="7"/>
        <v/>
      </c>
      <c r="J120" s="14"/>
      <c r="K120" s="15"/>
      <c r="L120" s="14"/>
      <c r="M120" s="15"/>
      <c r="N120" s="14"/>
      <c r="O120" s="15"/>
      <c r="P120" s="14"/>
      <c r="Q120" s="14"/>
      <c r="R120" s="14"/>
    </row>
    <row r="121" spans="1:18" x14ac:dyDescent="0.25">
      <c r="A121" s="11" t="str">
        <f>IF(OR($E121="",$G121="",$H121="",$Q121="",$R121=""),"",PREFIJO&amp;TEXT(SUMPRODUCT(($E$2:$E121&lt;&gt;"")*($G$2:$G121&lt;&gt;"")*($H$2:$H121&lt;&gt;"")*($Q$2:$Q121&lt;&gt;"")*($R$2:$R121&lt;&gt;"")),"0000"))</f>
        <v/>
      </c>
      <c r="B121" s="11" t="str">
        <f t="shared" si="6"/>
        <v/>
      </c>
      <c r="C121" s="14"/>
      <c r="D121" s="14"/>
      <c r="E121" s="14"/>
      <c r="F121" s="14"/>
      <c r="G121" s="14"/>
      <c r="H121" s="14"/>
      <c r="I121" s="11" t="str">
        <f t="shared" si="7"/>
        <v/>
      </c>
      <c r="J121" s="14"/>
      <c r="K121" s="15"/>
      <c r="L121" s="14"/>
      <c r="M121" s="15"/>
      <c r="N121" s="14"/>
      <c r="O121" s="15"/>
      <c r="P121" s="14"/>
      <c r="Q121" s="14"/>
      <c r="R121" s="14"/>
    </row>
    <row r="122" spans="1:18" x14ac:dyDescent="0.25">
      <c r="A122" s="11" t="str">
        <f>IF(OR($E122="",$G122="",$H122="",$Q122="",$R122=""),"",PREFIJO&amp;TEXT(SUMPRODUCT(($E$2:$E122&lt;&gt;"")*($G$2:$G122&lt;&gt;"")*($H$2:$H122&lt;&gt;"")*($Q$2:$Q122&lt;&gt;"")*($R$2:$R122&lt;&gt;"")),"0000"))</f>
        <v/>
      </c>
      <c r="B122" s="11" t="str">
        <f t="shared" si="6"/>
        <v/>
      </c>
      <c r="C122" s="14"/>
      <c r="D122" s="14"/>
      <c r="E122" s="14"/>
      <c r="F122" s="14"/>
      <c r="G122" s="14"/>
      <c r="H122" s="14"/>
      <c r="I122" s="11" t="str">
        <f t="shared" si="7"/>
        <v/>
      </c>
      <c r="J122" s="14"/>
      <c r="K122" s="15"/>
      <c r="L122" s="14"/>
      <c r="M122" s="15"/>
      <c r="N122" s="14"/>
      <c r="O122" s="15"/>
      <c r="P122" s="14"/>
      <c r="Q122" s="14"/>
      <c r="R122" s="14"/>
    </row>
    <row r="123" spans="1:18" x14ac:dyDescent="0.25">
      <c r="A123" s="11" t="str">
        <f>IF(OR($E123="",$G123="",$H123="",$Q123="",$R123=""),"",PREFIJO&amp;TEXT(SUMPRODUCT(($E$2:$E123&lt;&gt;"")*($G$2:$G123&lt;&gt;"")*($H$2:$H123&lt;&gt;"")*($Q$2:$Q123&lt;&gt;"")*($R$2:$R123&lt;&gt;"")),"0000"))</f>
        <v/>
      </c>
      <c r="B123" s="11" t="str">
        <f t="shared" si="6"/>
        <v/>
      </c>
      <c r="C123" s="14"/>
      <c r="D123" s="14"/>
      <c r="E123" s="14"/>
      <c r="F123" s="14"/>
      <c r="G123" s="14"/>
      <c r="H123" s="14"/>
      <c r="I123" s="11" t="str">
        <f t="shared" si="7"/>
        <v/>
      </c>
      <c r="J123" s="14"/>
      <c r="K123" s="15"/>
      <c r="L123" s="14"/>
      <c r="M123" s="15"/>
      <c r="N123" s="14"/>
      <c r="O123" s="15"/>
      <c r="P123" s="14"/>
      <c r="Q123" s="14"/>
      <c r="R123" s="14"/>
    </row>
    <row r="124" spans="1:18" x14ac:dyDescent="0.25">
      <c r="A124" s="11" t="str">
        <f>IF(OR($E124="",$G124="",$H124="",$Q124="",$R124=""),"",PREFIJO&amp;TEXT(SUMPRODUCT(($E$2:$E124&lt;&gt;"")*($G$2:$G124&lt;&gt;"")*($H$2:$H124&lt;&gt;"")*($Q$2:$Q124&lt;&gt;"")*($R$2:$R124&lt;&gt;"")),"0000"))</f>
        <v/>
      </c>
      <c r="B124" s="11" t="str">
        <f t="shared" si="6"/>
        <v/>
      </c>
      <c r="C124" s="14"/>
      <c r="D124" s="14"/>
      <c r="E124" s="14"/>
      <c r="F124" s="14"/>
      <c r="G124" s="14"/>
      <c r="H124" s="14"/>
      <c r="I124" s="11" t="str">
        <f t="shared" si="7"/>
        <v/>
      </c>
      <c r="J124" s="14"/>
      <c r="K124" s="15"/>
      <c r="L124" s="14"/>
      <c r="M124" s="15"/>
      <c r="N124" s="14"/>
      <c r="O124" s="15"/>
      <c r="P124" s="14"/>
      <c r="Q124" s="14"/>
      <c r="R124" s="14"/>
    </row>
    <row r="125" spans="1:18" x14ac:dyDescent="0.25">
      <c r="A125" s="11" t="str">
        <f>IF(OR($E125="",$G125="",$H125="",$Q125="",$R125=""),"",PREFIJO&amp;TEXT(SUMPRODUCT(($E$2:$E125&lt;&gt;"")*($G$2:$G125&lt;&gt;"")*($H$2:$H125&lt;&gt;"")*($Q$2:$Q125&lt;&gt;"")*($R$2:$R125&lt;&gt;"")),"0000"))</f>
        <v/>
      </c>
      <c r="B125" s="11" t="str">
        <f t="shared" si="6"/>
        <v/>
      </c>
      <c r="C125" s="14"/>
      <c r="D125" s="14"/>
      <c r="E125" s="14"/>
      <c r="F125" s="14"/>
      <c r="G125" s="14"/>
      <c r="H125" s="14"/>
      <c r="I125" s="11" t="str">
        <f t="shared" si="7"/>
        <v/>
      </c>
      <c r="J125" s="14"/>
      <c r="K125" s="15"/>
      <c r="L125" s="14"/>
      <c r="M125" s="15"/>
      <c r="N125" s="14"/>
      <c r="O125" s="15"/>
      <c r="P125" s="14"/>
      <c r="Q125" s="14"/>
      <c r="R125" s="14"/>
    </row>
    <row r="126" spans="1:18" x14ac:dyDescent="0.25">
      <c r="A126" s="11" t="str">
        <f>IF(OR($E126="",$G126="",$H126="",$Q126="",$R126=""),"",PREFIJO&amp;TEXT(SUMPRODUCT(($E$2:$E126&lt;&gt;"")*($G$2:$G126&lt;&gt;"")*($H$2:$H126&lt;&gt;"")*($Q$2:$Q126&lt;&gt;"")*($R$2:$R126&lt;&gt;"")),"0000"))</f>
        <v/>
      </c>
      <c r="B126" s="11" t="str">
        <f t="shared" si="6"/>
        <v/>
      </c>
      <c r="C126" s="14"/>
      <c r="D126" s="14"/>
      <c r="E126" s="14"/>
      <c r="F126" s="14"/>
      <c r="G126" s="14"/>
      <c r="H126" s="14"/>
      <c r="I126" s="11" t="str">
        <f t="shared" si="7"/>
        <v/>
      </c>
      <c r="J126" s="14"/>
      <c r="K126" s="15"/>
      <c r="L126" s="14"/>
      <c r="M126" s="15"/>
      <c r="N126" s="14"/>
      <c r="O126" s="15"/>
      <c r="P126" s="14"/>
      <c r="Q126" s="14"/>
      <c r="R126" s="14"/>
    </row>
    <row r="127" spans="1:18" x14ac:dyDescent="0.25">
      <c r="A127" s="11" t="str">
        <f>IF(OR($E127="",$G127="",$H127="",$Q127="",$R127=""),"",PREFIJO&amp;TEXT(SUMPRODUCT(($E$2:$E127&lt;&gt;"")*($G$2:$G127&lt;&gt;"")*($H$2:$H127&lt;&gt;"")*($Q$2:$Q127&lt;&gt;"")*($R$2:$R127&lt;&gt;"")),"0000"))</f>
        <v/>
      </c>
      <c r="B127" s="11" t="str">
        <f t="shared" si="6"/>
        <v/>
      </c>
      <c r="C127" s="14"/>
      <c r="D127" s="14"/>
      <c r="E127" s="14"/>
      <c r="F127" s="14"/>
      <c r="G127" s="14"/>
      <c r="H127" s="14"/>
      <c r="I127" s="11" t="str">
        <f t="shared" si="7"/>
        <v/>
      </c>
      <c r="J127" s="14"/>
      <c r="K127" s="15"/>
      <c r="L127" s="14"/>
      <c r="M127" s="15"/>
      <c r="N127" s="14"/>
      <c r="O127" s="15"/>
      <c r="P127" s="14"/>
      <c r="Q127" s="14"/>
      <c r="R127" s="14"/>
    </row>
    <row r="128" spans="1:18" x14ac:dyDescent="0.25">
      <c r="A128" s="11" t="str">
        <f>IF(OR($E128="",$G128="",$H128="",$Q128="",$R128=""),"",PREFIJO&amp;TEXT(SUMPRODUCT(($E$2:$E128&lt;&gt;"")*($G$2:$G128&lt;&gt;"")*($H$2:$H128&lt;&gt;"")*($Q$2:$Q128&lt;&gt;"")*($R$2:$R128&lt;&gt;"")),"0000"))</f>
        <v/>
      </c>
      <c r="B128" s="11" t="str">
        <f t="shared" si="6"/>
        <v/>
      </c>
      <c r="C128" s="14"/>
      <c r="D128" s="14"/>
      <c r="E128" s="14"/>
      <c r="F128" s="14"/>
      <c r="G128" s="14"/>
      <c r="H128" s="14"/>
      <c r="I128" s="11" t="str">
        <f t="shared" si="7"/>
        <v/>
      </c>
      <c r="J128" s="14"/>
      <c r="K128" s="15"/>
      <c r="L128" s="14"/>
      <c r="M128" s="15"/>
      <c r="N128" s="14"/>
      <c r="O128" s="15"/>
      <c r="P128" s="14"/>
      <c r="Q128" s="14"/>
      <c r="R128" s="14"/>
    </row>
    <row r="129" spans="1:18" x14ac:dyDescent="0.25">
      <c r="A129" s="11" t="str">
        <f>IF(OR($E129="",$G129="",$H129="",$Q129="",$R129=""),"",PREFIJO&amp;TEXT(SUMPRODUCT(($E$2:$E129&lt;&gt;"")*($G$2:$G129&lt;&gt;"")*($H$2:$H129&lt;&gt;"")*($Q$2:$Q129&lt;&gt;"")*($R$2:$R129&lt;&gt;"")),"0000"))</f>
        <v/>
      </c>
      <c r="B129" s="11" t="str">
        <f t="shared" si="6"/>
        <v/>
      </c>
      <c r="C129" s="14"/>
      <c r="D129" s="14"/>
      <c r="E129" s="14"/>
      <c r="F129" s="14"/>
      <c r="G129" s="14"/>
      <c r="H129" s="14"/>
      <c r="I129" s="11" t="str">
        <f t="shared" si="7"/>
        <v/>
      </c>
      <c r="J129" s="14"/>
      <c r="K129" s="15"/>
      <c r="L129" s="14"/>
      <c r="M129" s="15"/>
      <c r="N129" s="14"/>
      <c r="O129" s="15"/>
      <c r="P129" s="14"/>
      <c r="Q129" s="14"/>
      <c r="R129" s="14"/>
    </row>
    <row r="130" spans="1:18" x14ac:dyDescent="0.25">
      <c r="A130" s="11" t="str">
        <f>IF(OR($E130="",$G130="",$H130="",$Q130="",$R130=""),"",PREFIJO&amp;TEXT(SUMPRODUCT(($E$2:$E130&lt;&gt;"")*($G$2:$G130&lt;&gt;"")*($H$2:$H130&lt;&gt;"")*($Q$2:$Q130&lt;&gt;"")*($R$2:$R130&lt;&gt;"")),"0000"))</f>
        <v/>
      </c>
      <c r="B130" s="11" t="str">
        <f t="shared" si="6"/>
        <v/>
      </c>
      <c r="C130" s="14"/>
      <c r="D130" s="14"/>
      <c r="E130" s="14"/>
      <c r="F130" s="14"/>
      <c r="G130" s="14"/>
      <c r="H130" s="14"/>
      <c r="I130" s="11" t="str">
        <f t="shared" si="7"/>
        <v/>
      </c>
      <c r="J130" s="14"/>
      <c r="K130" s="15"/>
      <c r="L130" s="14"/>
      <c r="M130" s="15"/>
      <c r="N130" s="14"/>
      <c r="O130" s="15"/>
      <c r="P130" s="14"/>
      <c r="Q130" s="14"/>
      <c r="R130" s="14"/>
    </row>
    <row r="131" spans="1:18" x14ac:dyDescent="0.25">
      <c r="A131" s="11" t="str">
        <f>IF(OR($E131="",$G131="",$H131="",$Q131="",$R131=""),"",PREFIJO&amp;TEXT(SUMPRODUCT(($E$2:$E131&lt;&gt;"")*($G$2:$G131&lt;&gt;"")*($H$2:$H131&lt;&gt;"")*($Q$2:$Q131&lt;&gt;"")*($R$2:$R131&lt;&gt;"")),"0000"))</f>
        <v/>
      </c>
      <c r="B131" s="11" t="str">
        <f t="shared" si="6"/>
        <v/>
      </c>
      <c r="C131" s="14"/>
      <c r="D131" s="14"/>
      <c r="E131" s="14"/>
      <c r="F131" s="14"/>
      <c r="G131" s="14"/>
      <c r="H131" s="14"/>
      <c r="I131" s="11" t="str">
        <f t="shared" si="7"/>
        <v/>
      </c>
      <c r="J131" s="14"/>
      <c r="K131" s="15"/>
      <c r="L131" s="14"/>
      <c r="M131" s="15"/>
      <c r="N131" s="14"/>
      <c r="O131" s="15"/>
      <c r="P131" s="14"/>
      <c r="Q131" s="14"/>
      <c r="R131" s="14"/>
    </row>
    <row r="132" spans="1:18" x14ac:dyDescent="0.25">
      <c r="A132" s="11" t="str">
        <f>IF(OR($E132="",$G132="",$H132="",$Q132="",$R132=""),"",PREFIJO&amp;TEXT(SUMPRODUCT(($E$2:$E132&lt;&gt;"")*($G$2:$G132&lt;&gt;"")*($H$2:$H132&lt;&gt;"")*($Q$2:$Q132&lt;&gt;"")*($R$2:$R132&lt;&gt;"")),"0000"))</f>
        <v/>
      </c>
      <c r="B132" s="11" t="str">
        <f t="shared" si="6"/>
        <v/>
      </c>
      <c r="C132" s="14"/>
      <c r="D132" s="14"/>
      <c r="E132" s="14"/>
      <c r="F132" s="14"/>
      <c r="G132" s="14"/>
      <c r="H132" s="14"/>
      <c r="I132" s="11" t="str">
        <f t="shared" si="7"/>
        <v/>
      </c>
      <c r="J132" s="14"/>
      <c r="K132" s="15"/>
      <c r="L132" s="14"/>
      <c r="M132" s="15"/>
      <c r="N132" s="14"/>
      <c r="O132" s="15"/>
      <c r="P132" s="14"/>
      <c r="Q132" s="14"/>
      <c r="R132" s="14"/>
    </row>
    <row r="133" spans="1:18" x14ac:dyDescent="0.25">
      <c r="A133" s="11" t="str">
        <f>IF(OR($E133="",$G133="",$H133="",$Q133="",$R133=""),"",PREFIJO&amp;TEXT(SUMPRODUCT(($E$2:$E133&lt;&gt;"")*($G$2:$G133&lt;&gt;"")*($H$2:$H133&lt;&gt;"")*($Q$2:$Q133&lt;&gt;"")*($R$2:$R133&lt;&gt;"")),"0000"))</f>
        <v/>
      </c>
      <c r="B133" s="11" t="str">
        <f t="shared" si="6"/>
        <v/>
      </c>
      <c r="C133" s="14"/>
      <c r="D133" s="14"/>
      <c r="E133" s="14"/>
      <c r="F133" s="14"/>
      <c r="G133" s="14"/>
      <c r="H133" s="14"/>
      <c r="I133" s="11" t="str">
        <f t="shared" si="7"/>
        <v/>
      </c>
      <c r="J133" s="14"/>
      <c r="K133" s="15"/>
      <c r="L133" s="14"/>
      <c r="M133" s="15"/>
      <c r="N133" s="14"/>
      <c r="O133" s="15"/>
      <c r="P133" s="14"/>
      <c r="Q133" s="14"/>
      <c r="R133" s="14"/>
    </row>
    <row r="134" spans="1:18" x14ac:dyDescent="0.25">
      <c r="A134" s="11" t="str">
        <f>IF(OR($E134="",$G134="",$H134="",$Q134="",$R134=""),"",PREFIJO&amp;TEXT(SUMPRODUCT(($E$2:$E134&lt;&gt;"")*($G$2:$G134&lt;&gt;"")*($H$2:$H134&lt;&gt;"")*($Q$2:$Q134&lt;&gt;"")*($R$2:$R134&lt;&gt;"")),"0000"))</f>
        <v/>
      </c>
      <c r="B134" s="11" t="str">
        <f t="shared" si="6"/>
        <v/>
      </c>
      <c r="C134" s="14"/>
      <c r="D134" s="14"/>
      <c r="E134" s="14"/>
      <c r="F134" s="14"/>
      <c r="G134" s="14"/>
      <c r="H134" s="14"/>
      <c r="I134" s="11" t="str">
        <f t="shared" si="7"/>
        <v/>
      </c>
      <c r="J134" s="14"/>
      <c r="K134" s="15"/>
      <c r="L134" s="14"/>
      <c r="M134" s="15"/>
      <c r="N134" s="14"/>
      <c r="O134" s="15"/>
      <c r="P134" s="14"/>
      <c r="Q134" s="14"/>
      <c r="R134" s="14"/>
    </row>
    <row r="135" spans="1:18" x14ac:dyDescent="0.25">
      <c r="A135" s="11" t="str">
        <f>IF(OR($E135="",$G135="",$H135="",$Q135="",$R135=""),"",PREFIJO&amp;TEXT(SUMPRODUCT(($E$2:$E135&lt;&gt;"")*($G$2:$G135&lt;&gt;"")*($H$2:$H135&lt;&gt;"")*($Q$2:$Q135&lt;&gt;"")*($R$2:$R135&lt;&gt;"")),"0000"))</f>
        <v/>
      </c>
      <c r="B135" s="11" t="str">
        <f t="shared" si="6"/>
        <v/>
      </c>
      <c r="C135" s="14"/>
      <c r="D135" s="14"/>
      <c r="E135" s="14"/>
      <c r="F135" s="14"/>
      <c r="G135" s="14"/>
      <c r="H135" s="14"/>
      <c r="I135" s="11" t="str">
        <f t="shared" si="7"/>
        <v/>
      </c>
      <c r="J135" s="14"/>
      <c r="K135" s="15"/>
      <c r="L135" s="14"/>
      <c r="M135" s="15"/>
      <c r="N135" s="14"/>
      <c r="O135" s="15"/>
      <c r="P135" s="14"/>
      <c r="Q135" s="14"/>
      <c r="R135" s="14"/>
    </row>
    <row r="136" spans="1:18" x14ac:dyDescent="0.25">
      <c r="A136" s="11" t="str">
        <f>IF(OR($E136="",$G136="",$H136="",$Q136="",$R136=""),"",PREFIJO&amp;TEXT(SUMPRODUCT(($E$2:$E136&lt;&gt;"")*($G$2:$G136&lt;&gt;"")*($H$2:$H136&lt;&gt;"")*($Q$2:$Q136&lt;&gt;"")*($R$2:$R136&lt;&gt;"")),"0000"))</f>
        <v/>
      </c>
      <c r="B136" s="11" t="str">
        <f t="shared" si="6"/>
        <v/>
      </c>
      <c r="C136" s="14"/>
      <c r="D136" s="14"/>
      <c r="E136" s="14"/>
      <c r="F136" s="14"/>
      <c r="G136" s="14"/>
      <c r="H136" s="14"/>
      <c r="I136" s="11" t="str">
        <f t="shared" si="7"/>
        <v/>
      </c>
      <c r="J136" s="14"/>
      <c r="K136" s="15"/>
      <c r="L136" s="14"/>
      <c r="M136" s="15"/>
      <c r="N136" s="14"/>
      <c r="O136" s="15"/>
      <c r="P136" s="14"/>
      <c r="Q136" s="14"/>
      <c r="R136" s="14"/>
    </row>
    <row r="137" spans="1:18" x14ac:dyDescent="0.25">
      <c r="A137" s="11" t="str">
        <f>IF(OR($E137="",$G137="",$H137="",$Q137="",$R137=""),"",PREFIJO&amp;TEXT(SUMPRODUCT(($E$2:$E137&lt;&gt;"")*($G$2:$G137&lt;&gt;"")*($H$2:$H137&lt;&gt;"")*($Q$2:$Q137&lt;&gt;"")*($R$2:$R137&lt;&gt;"")),"0000"))</f>
        <v/>
      </c>
      <c r="B137" s="11" t="str">
        <f t="shared" si="6"/>
        <v/>
      </c>
      <c r="C137" s="14"/>
      <c r="D137" s="14"/>
      <c r="E137" s="14"/>
      <c r="F137" s="14"/>
      <c r="G137" s="14"/>
      <c r="H137" s="14"/>
      <c r="I137" s="11" t="str">
        <f t="shared" si="7"/>
        <v/>
      </c>
      <c r="J137" s="14"/>
      <c r="K137" s="15"/>
      <c r="L137" s="14"/>
      <c r="M137" s="15"/>
      <c r="N137" s="14"/>
      <c r="O137" s="15"/>
      <c r="P137" s="14"/>
      <c r="Q137" s="14"/>
      <c r="R137" s="14"/>
    </row>
    <row r="138" spans="1:18" x14ac:dyDescent="0.25">
      <c r="A138" s="11" t="str">
        <f>IF(OR($E138="",$G138="",$H138="",$Q138="",$R138=""),"",PREFIJO&amp;TEXT(SUMPRODUCT(($E$2:$E138&lt;&gt;"")*($G$2:$G138&lt;&gt;"")*($H$2:$H138&lt;&gt;"")*($Q$2:$Q138&lt;&gt;"")*($R$2:$R138&lt;&gt;"")),"0000"))</f>
        <v/>
      </c>
      <c r="B138" s="11" t="str">
        <f t="shared" si="6"/>
        <v/>
      </c>
      <c r="C138" s="14"/>
      <c r="D138" s="14"/>
      <c r="E138" s="14"/>
      <c r="F138" s="14"/>
      <c r="G138" s="14"/>
      <c r="H138" s="14"/>
      <c r="I138" s="11" t="str">
        <f t="shared" si="7"/>
        <v/>
      </c>
      <c r="J138" s="14"/>
      <c r="K138" s="15"/>
      <c r="L138" s="14"/>
      <c r="M138" s="15"/>
      <c r="N138" s="14"/>
      <c r="O138" s="15"/>
      <c r="P138" s="14"/>
      <c r="Q138" s="14"/>
      <c r="R138" s="14"/>
    </row>
    <row r="139" spans="1:18" x14ac:dyDescent="0.25">
      <c r="A139" s="11" t="str">
        <f>IF(OR($E139="",$G139="",$H139="",$Q139="",$R139=""),"",PREFIJO&amp;TEXT(SUMPRODUCT(($E$2:$E139&lt;&gt;"")*($G$2:$G139&lt;&gt;"")*($H$2:$H139&lt;&gt;"")*($Q$2:$Q139&lt;&gt;"")*($R$2:$R139&lt;&gt;"")),"0000"))</f>
        <v/>
      </c>
      <c r="B139" s="11" t="str">
        <f t="shared" si="6"/>
        <v/>
      </c>
      <c r="C139" s="14"/>
      <c r="D139" s="14"/>
      <c r="E139" s="14"/>
      <c r="F139" s="14"/>
      <c r="G139" s="14"/>
      <c r="H139" s="14"/>
      <c r="I139" s="11" t="str">
        <f t="shared" si="7"/>
        <v/>
      </c>
      <c r="J139" s="14"/>
      <c r="K139" s="15"/>
      <c r="L139" s="14"/>
      <c r="M139" s="15"/>
      <c r="N139" s="14"/>
      <c r="O139" s="15"/>
      <c r="P139" s="14"/>
      <c r="Q139" s="14"/>
      <c r="R139" s="14"/>
    </row>
    <row r="140" spans="1:18" x14ac:dyDescent="0.25">
      <c r="A140" s="11" t="str">
        <f>IF(OR($E140="",$G140="",$H140="",$Q140="",$R140=""),"",PREFIJO&amp;TEXT(SUMPRODUCT(($E$2:$E140&lt;&gt;"")*($G$2:$G140&lt;&gt;"")*($H$2:$H140&lt;&gt;"")*($Q$2:$Q140&lt;&gt;"")*($R$2:$R140&lt;&gt;"")),"0000"))</f>
        <v/>
      </c>
      <c r="B140" s="11" t="str">
        <f t="shared" si="6"/>
        <v/>
      </c>
      <c r="C140" s="14"/>
      <c r="D140" s="14"/>
      <c r="E140" s="14"/>
      <c r="F140" s="14"/>
      <c r="G140" s="14"/>
      <c r="H140" s="14"/>
      <c r="I140" s="11" t="str">
        <f t="shared" si="7"/>
        <v/>
      </c>
      <c r="J140" s="14"/>
      <c r="K140" s="15"/>
      <c r="L140" s="14"/>
      <c r="M140" s="15"/>
      <c r="N140" s="14"/>
      <c r="O140" s="15"/>
      <c r="P140" s="14"/>
      <c r="Q140" s="14"/>
      <c r="R140" s="14"/>
    </row>
    <row r="141" spans="1:18" x14ac:dyDescent="0.25">
      <c r="A141" s="11" t="str">
        <f>IF(OR($E141="",$G141="",$H141="",$Q141="",$R141=""),"",PREFIJO&amp;TEXT(SUMPRODUCT(($E$2:$E141&lt;&gt;"")*($G$2:$G141&lt;&gt;"")*($H$2:$H141&lt;&gt;"")*($Q$2:$Q141&lt;&gt;"")*($R$2:$R141&lt;&gt;"")),"0000"))</f>
        <v/>
      </c>
      <c r="B141" s="11" t="str">
        <f t="shared" si="6"/>
        <v/>
      </c>
      <c r="C141" s="14"/>
      <c r="D141" s="14"/>
      <c r="E141" s="14"/>
      <c r="F141" s="14"/>
      <c r="G141" s="14"/>
      <c r="H141" s="14"/>
      <c r="I141" s="11" t="str">
        <f t="shared" si="7"/>
        <v/>
      </c>
      <c r="J141" s="14"/>
      <c r="K141" s="15"/>
      <c r="L141" s="14"/>
      <c r="M141" s="15"/>
      <c r="N141" s="14"/>
      <c r="O141" s="15"/>
      <c r="P141" s="14"/>
      <c r="Q141" s="14"/>
      <c r="R141" s="14"/>
    </row>
    <row r="142" spans="1:18" x14ac:dyDescent="0.25">
      <c r="A142" s="11" t="str">
        <f>IF(OR($E142="",$G142="",$H142="",$Q142="",$R142=""),"",PREFIJO&amp;TEXT(SUMPRODUCT(($E$2:$E142&lt;&gt;"")*($G$2:$G142&lt;&gt;"")*($H$2:$H142&lt;&gt;"")*($Q$2:$Q142&lt;&gt;"")*($R$2:$R142&lt;&gt;"")),"0000"))</f>
        <v/>
      </c>
      <c r="B142" s="11" t="str">
        <f t="shared" ref="B142:B173" si="8">IF($A142="","",GRUPO_NOMBRE)</f>
        <v/>
      </c>
      <c r="C142" s="14"/>
      <c r="D142" s="14"/>
      <c r="E142" s="14"/>
      <c r="F142" s="14"/>
      <c r="G142" s="14"/>
      <c r="H142" s="14"/>
      <c r="I142" s="11" t="str">
        <f t="shared" ref="I142:I173" si="9">IF($C142="","",IFERROR(INDEX(CAT_CV,MATCH($C142,CAT_NOMBRE,0)),""))</f>
        <v/>
      </c>
      <c r="J142" s="14"/>
      <c r="K142" s="15"/>
      <c r="L142" s="14"/>
      <c r="M142" s="15"/>
      <c r="N142" s="14"/>
      <c r="O142" s="15"/>
      <c r="P142" s="14"/>
      <c r="Q142" s="14"/>
      <c r="R142" s="14"/>
    </row>
    <row r="143" spans="1:18" x14ac:dyDescent="0.25">
      <c r="A143" s="11" t="str">
        <f>IF(OR($E143="",$G143="",$H143="",$Q143="",$R143=""),"",PREFIJO&amp;TEXT(SUMPRODUCT(($E$2:$E143&lt;&gt;"")*($G$2:$G143&lt;&gt;"")*($H$2:$H143&lt;&gt;"")*($Q$2:$Q143&lt;&gt;"")*($R$2:$R143&lt;&gt;"")),"0000"))</f>
        <v/>
      </c>
      <c r="B143" s="11" t="str">
        <f t="shared" si="8"/>
        <v/>
      </c>
      <c r="C143" s="14"/>
      <c r="D143" s="14"/>
      <c r="E143" s="14"/>
      <c r="F143" s="14"/>
      <c r="G143" s="14"/>
      <c r="H143" s="14"/>
      <c r="I143" s="11" t="str">
        <f t="shared" si="9"/>
        <v/>
      </c>
      <c r="J143" s="14"/>
      <c r="K143" s="15"/>
      <c r="L143" s="14"/>
      <c r="M143" s="15"/>
      <c r="N143" s="14"/>
      <c r="O143" s="15"/>
      <c r="P143" s="14"/>
      <c r="Q143" s="14"/>
      <c r="R143" s="14"/>
    </row>
    <row r="144" spans="1:18" x14ac:dyDescent="0.25">
      <c r="A144" s="11" t="str">
        <f>IF(OR($E144="",$G144="",$H144="",$Q144="",$R144=""),"",PREFIJO&amp;TEXT(SUMPRODUCT(($E$2:$E144&lt;&gt;"")*($G$2:$G144&lt;&gt;"")*($H$2:$H144&lt;&gt;"")*($Q$2:$Q144&lt;&gt;"")*($R$2:$R144&lt;&gt;"")),"0000"))</f>
        <v/>
      </c>
      <c r="B144" s="11" t="str">
        <f t="shared" si="8"/>
        <v/>
      </c>
      <c r="C144" s="14"/>
      <c r="D144" s="14"/>
      <c r="E144" s="14"/>
      <c r="F144" s="14"/>
      <c r="G144" s="14"/>
      <c r="H144" s="14"/>
      <c r="I144" s="11" t="str">
        <f t="shared" si="9"/>
        <v/>
      </c>
      <c r="J144" s="14"/>
      <c r="K144" s="15"/>
      <c r="L144" s="14"/>
      <c r="M144" s="15"/>
      <c r="N144" s="14"/>
      <c r="O144" s="15"/>
      <c r="P144" s="14"/>
      <c r="Q144" s="14"/>
      <c r="R144" s="14"/>
    </row>
    <row r="145" spans="1:18" x14ac:dyDescent="0.25">
      <c r="A145" s="11" t="str">
        <f>IF(OR($E145="",$G145="",$H145="",$Q145="",$R145=""),"",PREFIJO&amp;TEXT(SUMPRODUCT(($E$2:$E145&lt;&gt;"")*($G$2:$G145&lt;&gt;"")*($H$2:$H145&lt;&gt;"")*($Q$2:$Q145&lt;&gt;"")*($R$2:$R145&lt;&gt;"")),"0000"))</f>
        <v/>
      </c>
      <c r="B145" s="11" t="str">
        <f t="shared" si="8"/>
        <v/>
      </c>
      <c r="C145" s="14"/>
      <c r="D145" s="14"/>
      <c r="E145" s="14"/>
      <c r="F145" s="14"/>
      <c r="G145" s="14"/>
      <c r="H145" s="14"/>
      <c r="I145" s="11" t="str">
        <f t="shared" si="9"/>
        <v/>
      </c>
      <c r="J145" s="14"/>
      <c r="K145" s="15"/>
      <c r="L145" s="14"/>
      <c r="M145" s="15"/>
      <c r="N145" s="14"/>
      <c r="O145" s="15"/>
      <c r="P145" s="14"/>
      <c r="Q145" s="14"/>
      <c r="R145" s="14"/>
    </row>
    <row r="146" spans="1:18" x14ac:dyDescent="0.25">
      <c r="A146" s="11" t="str">
        <f>IF(OR($E146="",$G146="",$H146="",$Q146="",$R146=""),"",PREFIJO&amp;TEXT(SUMPRODUCT(($E$2:$E146&lt;&gt;"")*($G$2:$G146&lt;&gt;"")*($H$2:$H146&lt;&gt;"")*($Q$2:$Q146&lt;&gt;"")*($R$2:$R146&lt;&gt;"")),"0000"))</f>
        <v/>
      </c>
      <c r="B146" s="11" t="str">
        <f t="shared" si="8"/>
        <v/>
      </c>
      <c r="C146" s="14"/>
      <c r="D146" s="14"/>
      <c r="E146" s="14"/>
      <c r="F146" s="14"/>
      <c r="G146" s="14"/>
      <c r="H146" s="14"/>
      <c r="I146" s="11" t="str">
        <f t="shared" si="9"/>
        <v/>
      </c>
      <c r="J146" s="14"/>
      <c r="K146" s="15"/>
      <c r="L146" s="14"/>
      <c r="M146" s="15"/>
      <c r="N146" s="14"/>
      <c r="O146" s="15"/>
      <c r="P146" s="14"/>
      <c r="Q146" s="14"/>
      <c r="R146" s="14"/>
    </row>
    <row r="147" spans="1:18" x14ac:dyDescent="0.25">
      <c r="A147" s="11" t="str">
        <f>IF(OR($E147="",$G147="",$H147="",$Q147="",$R147=""),"",PREFIJO&amp;TEXT(SUMPRODUCT(($E$2:$E147&lt;&gt;"")*($G$2:$G147&lt;&gt;"")*($H$2:$H147&lt;&gt;"")*($Q$2:$Q147&lt;&gt;"")*($R$2:$R147&lt;&gt;"")),"0000"))</f>
        <v/>
      </c>
      <c r="B147" s="11" t="str">
        <f t="shared" si="8"/>
        <v/>
      </c>
      <c r="C147" s="14"/>
      <c r="D147" s="14"/>
      <c r="E147" s="14"/>
      <c r="F147" s="14"/>
      <c r="G147" s="14"/>
      <c r="H147" s="14"/>
      <c r="I147" s="11" t="str">
        <f t="shared" si="9"/>
        <v/>
      </c>
      <c r="J147" s="14"/>
      <c r="K147" s="15"/>
      <c r="L147" s="14"/>
      <c r="M147" s="15"/>
      <c r="N147" s="14"/>
      <c r="O147" s="15"/>
      <c r="P147" s="14"/>
      <c r="Q147" s="14"/>
      <c r="R147" s="14"/>
    </row>
    <row r="148" spans="1:18" x14ac:dyDescent="0.25">
      <c r="A148" s="11" t="str">
        <f>IF(OR($E148="",$G148="",$H148="",$Q148="",$R148=""),"",PREFIJO&amp;TEXT(SUMPRODUCT(($E$2:$E148&lt;&gt;"")*($G$2:$G148&lt;&gt;"")*($H$2:$H148&lt;&gt;"")*($Q$2:$Q148&lt;&gt;"")*($R$2:$R148&lt;&gt;"")),"0000"))</f>
        <v/>
      </c>
      <c r="B148" s="11" t="str">
        <f t="shared" si="8"/>
        <v/>
      </c>
      <c r="C148" s="14"/>
      <c r="D148" s="14"/>
      <c r="E148" s="14"/>
      <c r="F148" s="14"/>
      <c r="G148" s="14"/>
      <c r="H148" s="14"/>
      <c r="I148" s="11" t="str">
        <f t="shared" si="9"/>
        <v/>
      </c>
      <c r="J148" s="14"/>
      <c r="K148" s="15"/>
      <c r="L148" s="14"/>
      <c r="M148" s="15"/>
      <c r="N148" s="14"/>
      <c r="O148" s="15"/>
      <c r="P148" s="14"/>
      <c r="Q148" s="14"/>
      <c r="R148" s="14"/>
    </row>
    <row r="149" spans="1:18" x14ac:dyDescent="0.25">
      <c r="A149" s="11" t="str">
        <f>IF(OR($E149="",$G149="",$H149="",$Q149="",$R149=""),"",PREFIJO&amp;TEXT(SUMPRODUCT(($E$2:$E149&lt;&gt;"")*($G$2:$G149&lt;&gt;"")*($H$2:$H149&lt;&gt;"")*($Q$2:$Q149&lt;&gt;"")*($R$2:$R149&lt;&gt;"")),"0000"))</f>
        <v/>
      </c>
      <c r="B149" s="11" t="str">
        <f t="shared" si="8"/>
        <v/>
      </c>
      <c r="C149" s="14"/>
      <c r="D149" s="14"/>
      <c r="E149" s="14"/>
      <c r="F149" s="14"/>
      <c r="G149" s="14"/>
      <c r="H149" s="14"/>
      <c r="I149" s="11" t="str">
        <f t="shared" si="9"/>
        <v/>
      </c>
      <c r="J149" s="14"/>
      <c r="K149" s="15"/>
      <c r="L149" s="14"/>
      <c r="M149" s="15"/>
      <c r="N149" s="14"/>
      <c r="O149" s="15"/>
      <c r="P149" s="14"/>
      <c r="Q149" s="14"/>
      <c r="R149" s="14"/>
    </row>
    <row r="150" spans="1:18" x14ac:dyDescent="0.25">
      <c r="A150" s="11" t="str">
        <f>IF(OR($E150="",$G150="",$H150="",$Q150="",$R150=""),"",PREFIJO&amp;TEXT(SUMPRODUCT(($E$2:$E150&lt;&gt;"")*($G$2:$G150&lt;&gt;"")*($H$2:$H150&lt;&gt;"")*($Q$2:$Q150&lt;&gt;"")*($R$2:$R150&lt;&gt;"")),"0000"))</f>
        <v/>
      </c>
      <c r="B150" s="11" t="str">
        <f t="shared" si="8"/>
        <v/>
      </c>
      <c r="C150" s="14"/>
      <c r="D150" s="14"/>
      <c r="E150" s="14"/>
      <c r="F150" s="14"/>
      <c r="G150" s="14"/>
      <c r="H150" s="14"/>
      <c r="I150" s="11" t="str">
        <f t="shared" si="9"/>
        <v/>
      </c>
      <c r="J150" s="14"/>
      <c r="K150" s="15"/>
      <c r="L150" s="14"/>
      <c r="M150" s="15"/>
      <c r="N150" s="14"/>
      <c r="O150" s="15"/>
      <c r="P150" s="14"/>
      <c r="Q150" s="14"/>
      <c r="R150" s="14"/>
    </row>
    <row r="151" spans="1:18" x14ac:dyDescent="0.25">
      <c r="A151" s="11" t="str">
        <f>IF(OR($E151="",$G151="",$H151="",$Q151="",$R151=""),"",PREFIJO&amp;TEXT(SUMPRODUCT(($E$2:$E151&lt;&gt;"")*($G$2:$G151&lt;&gt;"")*($H$2:$H151&lt;&gt;"")*($Q$2:$Q151&lt;&gt;"")*($R$2:$R151&lt;&gt;"")),"0000"))</f>
        <v/>
      </c>
      <c r="B151" s="11" t="str">
        <f t="shared" si="8"/>
        <v/>
      </c>
      <c r="C151" s="14"/>
      <c r="D151" s="14"/>
      <c r="E151" s="14"/>
      <c r="F151" s="14"/>
      <c r="G151" s="14"/>
      <c r="H151" s="14"/>
      <c r="I151" s="11" t="str">
        <f t="shared" si="9"/>
        <v/>
      </c>
      <c r="J151" s="14"/>
      <c r="K151" s="15"/>
      <c r="L151" s="14"/>
      <c r="M151" s="15"/>
      <c r="N151" s="14"/>
      <c r="O151" s="15"/>
      <c r="P151" s="14"/>
      <c r="Q151" s="14"/>
      <c r="R151" s="14"/>
    </row>
    <row r="152" spans="1:18" x14ac:dyDescent="0.25">
      <c r="A152" s="11" t="str">
        <f>IF(OR($E152="",$G152="",$H152="",$Q152="",$R152=""),"",PREFIJO&amp;TEXT(SUMPRODUCT(($E$2:$E152&lt;&gt;"")*($G$2:$G152&lt;&gt;"")*($H$2:$H152&lt;&gt;"")*($Q$2:$Q152&lt;&gt;"")*($R$2:$R152&lt;&gt;"")),"0000"))</f>
        <v/>
      </c>
      <c r="B152" s="11" t="str">
        <f t="shared" si="8"/>
        <v/>
      </c>
      <c r="C152" s="14"/>
      <c r="D152" s="14"/>
      <c r="E152" s="14"/>
      <c r="F152" s="14"/>
      <c r="G152" s="14"/>
      <c r="H152" s="14"/>
      <c r="I152" s="11" t="str">
        <f t="shared" si="9"/>
        <v/>
      </c>
      <c r="J152" s="14"/>
      <c r="K152" s="15"/>
      <c r="L152" s="14"/>
      <c r="M152" s="15"/>
      <c r="N152" s="14"/>
      <c r="O152" s="15"/>
      <c r="P152" s="14"/>
      <c r="Q152" s="14"/>
      <c r="R152" s="14"/>
    </row>
    <row r="153" spans="1:18" x14ac:dyDescent="0.25">
      <c r="A153" s="11" t="str">
        <f>IF(OR($E153="",$G153="",$H153="",$Q153="",$R153=""),"",PREFIJO&amp;TEXT(SUMPRODUCT(($E$2:$E153&lt;&gt;"")*($G$2:$G153&lt;&gt;"")*($H$2:$H153&lt;&gt;"")*($Q$2:$Q153&lt;&gt;"")*($R$2:$R153&lt;&gt;"")),"0000"))</f>
        <v/>
      </c>
      <c r="B153" s="11" t="str">
        <f t="shared" si="8"/>
        <v/>
      </c>
      <c r="C153" s="14"/>
      <c r="D153" s="14"/>
      <c r="E153" s="14"/>
      <c r="F153" s="14"/>
      <c r="G153" s="14"/>
      <c r="H153" s="14"/>
      <c r="I153" s="11" t="str">
        <f t="shared" si="9"/>
        <v/>
      </c>
      <c r="J153" s="14"/>
      <c r="K153" s="15"/>
      <c r="L153" s="14"/>
      <c r="M153" s="15"/>
      <c r="N153" s="14"/>
      <c r="O153" s="15"/>
      <c r="P153" s="14"/>
      <c r="Q153" s="14"/>
      <c r="R153" s="14"/>
    </row>
    <row r="154" spans="1:18" x14ac:dyDescent="0.25">
      <c r="A154" s="11" t="str">
        <f>IF(OR($E154="",$G154="",$H154="",$Q154="",$R154=""),"",PREFIJO&amp;TEXT(SUMPRODUCT(($E$2:$E154&lt;&gt;"")*($G$2:$G154&lt;&gt;"")*($H$2:$H154&lt;&gt;"")*($Q$2:$Q154&lt;&gt;"")*($R$2:$R154&lt;&gt;"")),"0000"))</f>
        <v/>
      </c>
      <c r="B154" s="11" t="str">
        <f t="shared" si="8"/>
        <v/>
      </c>
      <c r="C154" s="14"/>
      <c r="D154" s="14"/>
      <c r="E154" s="14"/>
      <c r="F154" s="14"/>
      <c r="G154" s="14"/>
      <c r="H154" s="14"/>
      <c r="I154" s="11" t="str">
        <f t="shared" si="9"/>
        <v/>
      </c>
      <c r="J154" s="14"/>
      <c r="K154" s="15"/>
      <c r="L154" s="14"/>
      <c r="M154" s="15"/>
      <c r="N154" s="14"/>
      <c r="O154" s="15"/>
      <c r="P154" s="14"/>
      <c r="Q154" s="14"/>
      <c r="R154" s="14"/>
    </row>
    <row r="155" spans="1:18" x14ac:dyDescent="0.25">
      <c r="A155" s="11" t="str">
        <f>IF(OR($E155="",$G155="",$H155="",$Q155="",$R155=""),"",PREFIJO&amp;TEXT(SUMPRODUCT(($E$2:$E155&lt;&gt;"")*($G$2:$G155&lt;&gt;"")*($H$2:$H155&lt;&gt;"")*($Q$2:$Q155&lt;&gt;"")*($R$2:$R155&lt;&gt;"")),"0000"))</f>
        <v/>
      </c>
      <c r="B155" s="11" t="str">
        <f t="shared" si="8"/>
        <v/>
      </c>
      <c r="C155" s="14"/>
      <c r="D155" s="14"/>
      <c r="E155" s="14"/>
      <c r="F155" s="14"/>
      <c r="G155" s="14"/>
      <c r="H155" s="14"/>
      <c r="I155" s="11" t="str">
        <f t="shared" si="9"/>
        <v/>
      </c>
      <c r="J155" s="14"/>
      <c r="K155" s="15"/>
      <c r="L155" s="14"/>
      <c r="M155" s="15"/>
      <c r="N155" s="14"/>
      <c r="O155" s="15"/>
      <c r="P155" s="14"/>
      <c r="Q155" s="14"/>
      <c r="R155" s="14"/>
    </row>
    <row r="156" spans="1:18" x14ac:dyDescent="0.25">
      <c r="A156" s="11" t="str">
        <f>IF(OR($E156="",$G156="",$H156="",$Q156="",$R156=""),"",PREFIJO&amp;TEXT(SUMPRODUCT(($E$2:$E156&lt;&gt;"")*($G$2:$G156&lt;&gt;"")*($H$2:$H156&lt;&gt;"")*($Q$2:$Q156&lt;&gt;"")*($R$2:$R156&lt;&gt;"")),"0000"))</f>
        <v/>
      </c>
      <c r="B156" s="11" t="str">
        <f t="shared" si="8"/>
        <v/>
      </c>
      <c r="C156" s="14"/>
      <c r="D156" s="14"/>
      <c r="E156" s="14"/>
      <c r="F156" s="14"/>
      <c r="G156" s="14"/>
      <c r="H156" s="14"/>
      <c r="I156" s="11" t="str">
        <f t="shared" si="9"/>
        <v/>
      </c>
      <c r="J156" s="14"/>
      <c r="K156" s="15"/>
      <c r="L156" s="14"/>
      <c r="M156" s="15"/>
      <c r="N156" s="14"/>
      <c r="O156" s="15"/>
      <c r="P156" s="14"/>
      <c r="Q156" s="14"/>
      <c r="R156" s="14"/>
    </row>
    <row r="157" spans="1:18" x14ac:dyDescent="0.25">
      <c r="A157" s="11" t="str">
        <f>IF(OR($E157="",$G157="",$H157="",$Q157="",$R157=""),"",PREFIJO&amp;TEXT(SUMPRODUCT(($E$2:$E157&lt;&gt;"")*($G$2:$G157&lt;&gt;"")*($H$2:$H157&lt;&gt;"")*($Q$2:$Q157&lt;&gt;"")*($R$2:$R157&lt;&gt;"")),"0000"))</f>
        <v/>
      </c>
      <c r="B157" s="11" t="str">
        <f t="shared" si="8"/>
        <v/>
      </c>
      <c r="C157" s="14"/>
      <c r="D157" s="14"/>
      <c r="E157" s="14"/>
      <c r="F157" s="14"/>
      <c r="G157" s="14"/>
      <c r="H157" s="14"/>
      <c r="I157" s="11" t="str">
        <f t="shared" si="9"/>
        <v/>
      </c>
      <c r="J157" s="14"/>
      <c r="K157" s="15"/>
      <c r="L157" s="14"/>
      <c r="M157" s="15"/>
      <c r="N157" s="14"/>
      <c r="O157" s="15"/>
      <c r="P157" s="14"/>
      <c r="Q157" s="14"/>
      <c r="R157" s="14"/>
    </row>
    <row r="158" spans="1:18" x14ac:dyDescent="0.25">
      <c r="A158" s="11" t="str">
        <f>IF(OR($E158="",$G158="",$H158="",$Q158="",$R158=""),"",PREFIJO&amp;TEXT(SUMPRODUCT(($E$2:$E158&lt;&gt;"")*($G$2:$G158&lt;&gt;"")*($H$2:$H158&lt;&gt;"")*($Q$2:$Q158&lt;&gt;"")*($R$2:$R158&lt;&gt;"")),"0000"))</f>
        <v/>
      </c>
      <c r="B158" s="11" t="str">
        <f t="shared" si="8"/>
        <v/>
      </c>
      <c r="C158" s="14"/>
      <c r="D158" s="14"/>
      <c r="E158" s="14"/>
      <c r="F158" s="14"/>
      <c r="G158" s="14"/>
      <c r="H158" s="14"/>
      <c r="I158" s="11" t="str">
        <f t="shared" si="9"/>
        <v/>
      </c>
      <c r="J158" s="14"/>
      <c r="K158" s="15"/>
      <c r="L158" s="14"/>
      <c r="M158" s="15"/>
      <c r="N158" s="14"/>
      <c r="O158" s="15"/>
      <c r="P158" s="14"/>
      <c r="Q158" s="14"/>
      <c r="R158" s="14"/>
    </row>
    <row r="159" spans="1:18" x14ac:dyDescent="0.25">
      <c r="A159" s="11" t="str">
        <f>IF(OR($E159="",$G159="",$H159="",$Q159="",$R159=""),"",PREFIJO&amp;TEXT(SUMPRODUCT(($E$2:$E159&lt;&gt;"")*($G$2:$G159&lt;&gt;"")*($H$2:$H159&lt;&gt;"")*($Q$2:$Q159&lt;&gt;"")*($R$2:$R159&lt;&gt;"")),"0000"))</f>
        <v/>
      </c>
      <c r="B159" s="11" t="str">
        <f t="shared" si="8"/>
        <v/>
      </c>
      <c r="C159" s="14"/>
      <c r="D159" s="14"/>
      <c r="E159" s="14"/>
      <c r="F159" s="14"/>
      <c r="G159" s="14"/>
      <c r="H159" s="14"/>
      <c r="I159" s="11" t="str">
        <f t="shared" si="9"/>
        <v/>
      </c>
      <c r="J159" s="14"/>
      <c r="K159" s="15"/>
      <c r="L159" s="14"/>
      <c r="M159" s="15"/>
      <c r="N159" s="14"/>
      <c r="O159" s="15"/>
      <c r="P159" s="14"/>
      <c r="Q159" s="14"/>
      <c r="R159" s="14"/>
    </row>
    <row r="160" spans="1:18" x14ac:dyDescent="0.25">
      <c r="A160" s="11" t="str">
        <f>IF(OR($E160="",$G160="",$H160="",$Q160="",$R160=""),"",PREFIJO&amp;TEXT(SUMPRODUCT(($E$2:$E160&lt;&gt;"")*($G$2:$G160&lt;&gt;"")*($H$2:$H160&lt;&gt;"")*($Q$2:$Q160&lt;&gt;"")*($R$2:$R160&lt;&gt;"")),"0000"))</f>
        <v/>
      </c>
      <c r="B160" s="11" t="str">
        <f t="shared" si="8"/>
        <v/>
      </c>
      <c r="C160" s="14"/>
      <c r="D160" s="14"/>
      <c r="E160" s="14"/>
      <c r="F160" s="14"/>
      <c r="G160" s="14"/>
      <c r="H160" s="14"/>
      <c r="I160" s="11" t="str">
        <f t="shared" si="9"/>
        <v/>
      </c>
      <c r="J160" s="14"/>
      <c r="K160" s="15"/>
      <c r="L160" s="14"/>
      <c r="M160" s="15"/>
      <c r="N160" s="14"/>
      <c r="O160" s="15"/>
      <c r="P160" s="14"/>
      <c r="Q160" s="14"/>
      <c r="R160" s="14"/>
    </row>
    <row r="161" spans="1:18" x14ac:dyDescent="0.25">
      <c r="A161" s="11" t="str">
        <f>IF(OR($E161="",$G161="",$H161="",$Q161="",$R161=""),"",PREFIJO&amp;TEXT(SUMPRODUCT(($E$2:$E161&lt;&gt;"")*($G$2:$G161&lt;&gt;"")*($H$2:$H161&lt;&gt;"")*($Q$2:$Q161&lt;&gt;"")*($R$2:$R161&lt;&gt;"")),"0000"))</f>
        <v/>
      </c>
      <c r="B161" s="11" t="str">
        <f t="shared" si="8"/>
        <v/>
      </c>
      <c r="C161" s="14"/>
      <c r="D161" s="14"/>
      <c r="E161" s="14"/>
      <c r="F161" s="14"/>
      <c r="G161" s="14"/>
      <c r="H161" s="14"/>
      <c r="I161" s="11" t="str">
        <f t="shared" si="9"/>
        <v/>
      </c>
      <c r="J161" s="14"/>
      <c r="K161" s="15"/>
      <c r="L161" s="14"/>
      <c r="M161" s="15"/>
      <c r="N161" s="14"/>
      <c r="O161" s="15"/>
      <c r="P161" s="14"/>
      <c r="Q161" s="14"/>
      <c r="R161" s="14"/>
    </row>
    <row r="162" spans="1:18" x14ac:dyDescent="0.25">
      <c r="A162" s="11" t="str">
        <f>IF(OR($E162="",$G162="",$H162="",$Q162="",$R162=""),"",PREFIJO&amp;TEXT(SUMPRODUCT(($E$2:$E162&lt;&gt;"")*($G$2:$G162&lt;&gt;"")*($H$2:$H162&lt;&gt;"")*($Q$2:$Q162&lt;&gt;"")*($R$2:$R162&lt;&gt;"")),"0000"))</f>
        <v/>
      </c>
      <c r="B162" s="11" t="str">
        <f t="shared" si="8"/>
        <v/>
      </c>
      <c r="C162" s="14"/>
      <c r="D162" s="14"/>
      <c r="E162" s="14"/>
      <c r="F162" s="14"/>
      <c r="G162" s="14"/>
      <c r="H162" s="14"/>
      <c r="I162" s="11" t="str">
        <f t="shared" si="9"/>
        <v/>
      </c>
      <c r="J162" s="14"/>
      <c r="K162" s="15"/>
      <c r="L162" s="14"/>
      <c r="M162" s="15"/>
      <c r="N162" s="14"/>
      <c r="O162" s="15"/>
      <c r="P162" s="14"/>
      <c r="Q162" s="14"/>
      <c r="R162" s="14"/>
    </row>
    <row r="163" spans="1:18" x14ac:dyDescent="0.25">
      <c r="A163" s="11" t="str">
        <f>IF(OR($E163="",$G163="",$H163="",$Q163="",$R163=""),"",PREFIJO&amp;TEXT(SUMPRODUCT(($E$2:$E163&lt;&gt;"")*($G$2:$G163&lt;&gt;"")*($H$2:$H163&lt;&gt;"")*($Q$2:$Q163&lt;&gt;"")*($R$2:$R163&lt;&gt;"")),"0000"))</f>
        <v/>
      </c>
      <c r="B163" s="11" t="str">
        <f t="shared" si="8"/>
        <v/>
      </c>
      <c r="C163" s="14"/>
      <c r="D163" s="14"/>
      <c r="E163" s="14"/>
      <c r="F163" s="14"/>
      <c r="G163" s="14"/>
      <c r="H163" s="14"/>
      <c r="I163" s="11" t="str">
        <f t="shared" si="9"/>
        <v/>
      </c>
      <c r="J163" s="14"/>
      <c r="K163" s="15"/>
      <c r="L163" s="14"/>
      <c r="M163" s="15"/>
      <c r="N163" s="14"/>
      <c r="O163" s="15"/>
      <c r="P163" s="14"/>
      <c r="Q163" s="14"/>
      <c r="R163" s="14"/>
    </row>
    <row r="164" spans="1:18" x14ac:dyDescent="0.25">
      <c r="A164" s="11" t="str">
        <f>IF(OR($E164="",$G164="",$H164="",$Q164="",$R164=""),"",PREFIJO&amp;TEXT(SUMPRODUCT(($E$2:$E164&lt;&gt;"")*($G$2:$G164&lt;&gt;"")*($H$2:$H164&lt;&gt;"")*($Q$2:$Q164&lt;&gt;"")*($R$2:$R164&lt;&gt;"")),"0000"))</f>
        <v/>
      </c>
      <c r="B164" s="11" t="str">
        <f t="shared" si="8"/>
        <v/>
      </c>
      <c r="C164" s="14"/>
      <c r="D164" s="14"/>
      <c r="E164" s="14"/>
      <c r="F164" s="14"/>
      <c r="G164" s="14"/>
      <c r="H164" s="14"/>
      <c r="I164" s="11" t="str">
        <f t="shared" si="9"/>
        <v/>
      </c>
      <c r="J164" s="14"/>
      <c r="K164" s="15"/>
      <c r="L164" s="14"/>
      <c r="M164" s="15"/>
      <c r="N164" s="14"/>
      <c r="O164" s="15"/>
      <c r="P164" s="14"/>
      <c r="Q164" s="14"/>
      <c r="R164" s="14"/>
    </row>
    <row r="165" spans="1:18" x14ac:dyDescent="0.25">
      <c r="A165" s="11" t="str">
        <f>IF(OR($E165="",$G165="",$H165="",$Q165="",$R165=""),"",PREFIJO&amp;TEXT(SUMPRODUCT(($E$2:$E165&lt;&gt;"")*($G$2:$G165&lt;&gt;"")*($H$2:$H165&lt;&gt;"")*($Q$2:$Q165&lt;&gt;"")*($R$2:$R165&lt;&gt;"")),"0000"))</f>
        <v/>
      </c>
      <c r="B165" s="11" t="str">
        <f t="shared" si="8"/>
        <v/>
      </c>
      <c r="C165" s="14"/>
      <c r="D165" s="14"/>
      <c r="E165" s="14"/>
      <c r="F165" s="14"/>
      <c r="G165" s="14"/>
      <c r="H165" s="14"/>
      <c r="I165" s="11" t="str">
        <f t="shared" si="9"/>
        <v/>
      </c>
      <c r="J165" s="14"/>
      <c r="K165" s="15"/>
      <c r="L165" s="14"/>
      <c r="M165" s="15"/>
      <c r="N165" s="14"/>
      <c r="O165" s="15"/>
      <c r="P165" s="14"/>
      <c r="Q165" s="14"/>
      <c r="R165" s="14"/>
    </row>
    <row r="166" spans="1:18" x14ac:dyDescent="0.25">
      <c r="A166" s="11" t="str">
        <f>IF(OR($E166="",$G166="",$H166="",$Q166="",$R166=""),"",PREFIJO&amp;TEXT(SUMPRODUCT(($E$2:$E166&lt;&gt;"")*($G$2:$G166&lt;&gt;"")*($H$2:$H166&lt;&gt;"")*($Q$2:$Q166&lt;&gt;"")*($R$2:$R166&lt;&gt;"")),"0000"))</f>
        <v/>
      </c>
      <c r="B166" s="11" t="str">
        <f t="shared" si="8"/>
        <v/>
      </c>
      <c r="C166" s="14"/>
      <c r="D166" s="14"/>
      <c r="E166" s="14"/>
      <c r="F166" s="14"/>
      <c r="G166" s="14"/>
      <c r="H166" s="14"/>
      <c r="I166" s="11" t="str">
        <f t="shared" si="9"/>
        <v/>
      </c>
      <c r="J166" s="14"/>
      <c r="K166" s="15"/>
      <c r="L166" s="14"/>
      <c r="M166" s="15"/>
      <c r="N166" s="14"/>
      <c r="O166" s="15"/>
      <c r="P166" s="14"/>
      <c r="Q166" s="14"/>
      <c r="R166" s="14"/>
    </row>
    <row r="167" spans="1:18" x14ac:dyDescent="0.25">
      <c r="A167" s="11" t="str">
        <f>IF(OR($E167="",$G167="",$H167="",$Q167="",$R167=""),"",PREFIJO&amp;TEXT(SUMPRODUCT(($E$2:$E167&lt;&gt;"")*($G$2:$G167&lt;&gt;"")*($H$2:$H167&lt;&gt;"")*($Q$2:$Q167&lt;&gt;"")*($R$2:$R167&lt;&gt;"")),"0000"))</f>
        <v/>
      </c>
      <c r="B167" s="11" t="str">
        <f t="shared" si="8"/>
        <v/>
      </c>
      <c r="C167" s="14"/>
      <c r="D167" s="14"/>
      <c r="E167" s="14"/>
      <c r="F167" s="14"/>
      <c r="G167" s="14"/>
      <c r="H167" s="14"/>
      <c r="I167" s="11" t="str">
        <f t="shared" si="9"/>
        <v/>
      </c>
      <c r="J167" s="14"/>
      <c r="K167" s="15"/>
      <c r="L167" s="14"/>
      <c r="M167" s="15"/>
      <c r="N167" s="14"/>
      <c r="O167" s="15"/>
      <c r="P167" s="14"/>
      <c r="Q167" s="14"/>
      <c r="R167" s="14"/>
    </row>
    <row r="168" spans="1:18" x14ac:dyDescent="0.25">
      <c r="A168" s="11" t="str">
        <f>IF(OR($E168="",$G168="",$H168="",$Q168="",$R168=""),"",PREFIJO&amp;TEXT(SUMPRODUCT(($E$2:$E168&lt;&gt;"")*($G$2:$G168&lt;&gt;"")*($H$2:$H168&lt;&gt;"")*($Q$2:$Q168&lt;&gt;"")*($R$2:$R168&lt;&gt;"")),"0000"))</f>
        <v/>
      </c>
      <c r="B168" s="11" t="str">
        <f t="shared" si="8"/>
        <v/>
      </c>
      <c r="C168" s="14"/>
      <c r="D168" s="14"/>
      <c r="E168" s="14"/>
      <c r="F168" s="14"/>
      <c r="G168" s="14"/>
      <c r="H168" s="14"/>
      <c r="I168" s="11" t="str">
        <f t="shared" si="9"/>
        <v/>
      </c>
      <c r="J168" s="14"/>
      <c r="K168" s="15"/>
      <c r="L168" s="14"/>
      <c r="M168" s="15"/>
      <c r="N168" s="14"/>
      <c r="O168" s="15"/>
      <c r="P168" s="14"/>
      <c r="Q168" s="14"/>
      <c r="R168" s="14"/>
    </row>
    <row r="169" spans="1:18" x14ac:dyDescent="0.25">
      <c r="A169" s="11" t="str">
        <f>IF(OR($E169="",$G169="",$H169="",$Q169="",$R169=""),"",PREFIJO&amp;TEXT(SUMPRODUCT(($E$2:$E169&lt;&gt;"")*($G$2:$G169&lt;&gt;"")*($H$2:$H169&lt;&gt;"")*($Q$2:$Q169&lt;&gt;"")*($R$2:$R169&lt;&gt;"")),"0000"))</f>
        <v/>
      </c>
      <c r="B169" s="11" t="str">
        <f t="shared" si="8"/>
        <v/>
      </c>
      <c r="C169" s="14"/>
      <c r="D169" s="14"/>
      <c r="E169" s="14"/>
      <c r="F169" s="14"/>
      <c r="G169" s="14"/>
      <c r="H169" s="14"/>
      <c r="I169" s="11" t="str">
        <f t="shared" si="9"/>
        <v/>
      </c>
      <c r="J169" s="14"/>
      <c r="K169" s="15"/>
      <c r="L169" s="14"/>
      <c r="M169" s="15"/>
      <c r="N169" s="14"/>
      <c r="O169" s="15"/>
      <c r="P169" s="14"/>
      <c r="Q169" s="14"/>
      <c r="R169" s="14"/>
    </row>
    <row r="170" spans="1:18" x14ac:dyDescent="0.25">
      <c r="A170" s="11" t="str">
        <f>IF(OR($E170="",$G170="",$H170="",$Q170="",$R170=""),"",PREFIJO&amp;TEXT(SUMPRODUCT(($E$2:$E170&lt;&gt;"")*($G$2:$G170&lt;&gt;"")*($H$2:$H170&lt;&gt;"")*($Q$2:$Q170&lt;&gt;"")*($R$2:$R170&lt;&gt;"")),"0000"))</f>
        <v/>
      </c>
      <c r="B170" s="11" t="str">
        <f t="shared" si="8"/>
        <v/>
      </c>
      <c r="C170" s="14"/>
      <c r="D170" s="14"/>
      <c r="E170" s="14"/>
      <c r="F170" s="14"/>
      <c r="G170" s="14"/>
      <c r="H170" s="14"/>
      <c r="I170" s="11" t="str">
        <f t="shared" si="9"/>
        <v/>
      </c>
      <c r="J170" s="14"/>
      <c r="K170" s="15"/>
      <c r="L170" s="14"/>
      <c r="M170" s="15"/>
      <c r="N170" s="14"/>
      <c r="O170" s="15"/>
      <c r="P170" s="14"/>
      <c r="Q170" s="14"/>
      <c r="R170" s="14"/>
    </row>
    <row r="171" spans="1:18" x14ac:dyDescent="0.25">
      <c r="A171" s="11" t="str">
        <f>IF(OR($E171="",$G171="",$H171="",$Q171="",$R171=""),"",PREFIJO&amp;TEXT(SUMPRODUCT(($E$2:$E171&lt;&gt;"")*($G$2:$G171&lt;&gt;"")*($H$2:$H171&lt;&gt;"")*($Q$2:$Q171&lt;&gt;"")*($R$2:$R171&lt;&gt;"")),"0000"))</f>
        <v/>
      </c>
      <c r="B171" s="11" t="str">
        <f t="shared" si="8"/>
        <v/>
      </c>
      <c r="C171" s="14"/>
      <c r="D171" s="14"/>
      <c r="E171" s="14"/>
      <c r="F171" s="14"/>
      <c r="G171" s="14"/>
      <c r="H171" s="14"/>
      <c r="I171" s="11" t="str">
        <f t="shared" si="9"/>
        <v/>
      </c>
      <c r="J171" s="14"/>
      <c r="K171" s="15"/>
      <c r="L171" s="14"/>
      <c r="M171" s="15"/>
      <c r="N171" s="14"/>
      <c r="O171" s="15"/>
      <c r="P171" s="14"/>
      <c r="Q171" s="14"/>
      <c r="R171" s="14"/>
    </row>
    <row r="172" spans="1:18" x14ac:dyDescent="0.25">
      <c r="A172" s="11" t="str">
        <f>IF(OR($E172="",$G172="",$H172="",$Q172="",$R172=""),"",PREFIJO&amp;TEXT(SUMPRODUCT(($E$2:$E172&lt;&gt;"")*($G$2:$G172&lt;&gt;"")*($H$2:$H172&lt;&gt;"")*($Q$2:$Q172&lt;&gt;"")*($R$2:$R172&lt;&gt;"")),"0000"))</f>
        <v/>
      </c>
      <c r="B172" s="11" t="str">
        <f t="shared" si="8"/>
        <v/>
      </c>
      <c r="C172" s="14"/>
      <c r="D172" s="14"/>
      <c r="E172" s="14"/>
      <c r="F172" s="14"/>
      <c r="G172" s="14"/>
      <c r="H172" s="14"/>
      <c r="I172" s="11" t="str">
        <f t="shared" si="9"/>
        <v/>
      </c>
      <c r="J172" s="14"/>
      <c r="K172" s="15"/>
      <c r="L172" s="14"/>
      <c r="M172" s="15"/>
      <c r="N172" s="14"/>
      <c r="O172" s="15"/>
      <c r="P172" s="14"/>
      <c r="Q172" s="14"/>
      <c r="R172" s="14"/>
    </row>
    <row r="173" spans="1:18" x14ac:dyDescent="0.25">
      <c r="A173" s="11" t="str">
        <f>IF(OR($E173="",$G173="",$H173="",$Q173="",$R173=""),"",PREFIJO&amp;TEXT(SUMPRODUCT(($E$2:$E173&lt;&gt;"")*($G$2:$G173&lt;&gt;"")*($H$2:$H173&lt;&gt;"")*($Q$2:$Q173&lt;&gt;"")*($R$2:$R173&lt;&gt;"")),"0000"))</f>
        <v/>
      </c>
      <c r="B173" s="11" t="str">
        <f t="shared" si="8"/>
        <v/>
      </c>
      <c r="C173" s="14"/>
      <c r="D173" s="14"/>
      <c r="E173" s="14"/>
      <c r="F173" s="14"/>
      <c r="G173" s="14"/>
      <c r="H173" s="14"/>
      <c r="I173" s="11" t="str">
        <f t="shared" si="9"/>
        <v/>
      </c>
      <c r="J173" s="14"/>
      <c r="K173" s="15"/>
      <c r="L173" s="14"/>
      <c r="M173" s="15"/>
      <c r="N173" s="14"/>
      <c r="O173" s="15"/>
      <c r="P173" s="14"/>
      <c r="Q173" s="14"/>
      <c r="R173" s="14"/>
    </row>
    <row r="174" spans="1:18" x14ac:dyDescent="0.25">
      <c r="A174" s="11" t="str">
        <f>IF(OR($E174="",$G174="",$H174="",$Q174="",$R174=""),"",PREFIJO&amp;TEXT(SUMPRODUCT(($E$2:$E174&lt;&gt;"")*($G$2:$G174&lt;&gt;"")*($H$2:$H174&lt;&gt;"")*($Q$2:$Q174&lt;&gt;"")*($R$2:$R174&lt;&gt;"")),"0000"))</f>
        <v/>
      </c>
      <c r="B174" s="11" t="str">
        <f t="shared" ref="B174:B205" si="10">IF($A174="","",GRUPO_NOMBRE)</f>
        <v/>
      </c>
      <c r="C174" s="14"/>
      <c r="D174" s="14"/>
      <c r="E174" s="14"/>
      <c r="F174" s="14"/>
      <c r="G174" s="14"/>
      <c r="H174" s="14"/>
      <c r="I174" s="11" t="str">
        <f t="shared" ref="I174:I205" si="11">IF($C174="","",IFERROR(INDEX(CAT_CV,MATCH($C174,CAT_NOMBRE,0)),""))</f>
        <v/>
      </c>
      <c r="J174" s="14"/>
      <c r="K174" s="15"/>
      <c r="L174" s="14"/>
      <c r="M174" s="15"/>
      <c r="N174" s="14"/>
      <c r="O174" s="15"/>
      <c r="P174" s="14"/>
      <c r="Q174" s="14"/>
      <c r="R174" s="14"/>
    </row>
    <row r="175" spans="1:18" x14ac:dyDescent="0.25">
      <c r="A175" s="11" t="str">
        <f>IF(OR($E175="",$G175="",$H175="",$Q175="",$R175=""),"",PREFIJO&amp;TEXT(SUMPRODUCT(($E$2:$E175&lt;&gt;"")*($G$2:$G175&lt;&gt;"")*($H$2:$H175&lt;&gt;"")*($Q$2:$Q175&lt;&gt;"")*($R$2:$R175&lt;&gt;"")),"0000"))</f>
        <v/>
      </c>
      <c r="B175" s="11" t="str">
        <f t="shared" si="10"/>
        <v/>
      </c>
      <c r="C175" s="14"/>
      <c r="D175" s="14"/>
      <c r="E175" s="14"/>
      <c r="F175" s="14"/>
      <c r="G175" s="14"/>
      <c r="H175" s="14"/>
      <c r="I175" s="11" t="str">
        <f t="shared" si="11"/>
        <v/>
      </c>
      <c r="J175" s="14"/>
      <c r="K175" s="15"/>
      <c r="L175" s="14"/>
      <c r="M175" s="15"/>
      <c r="N175" s="14"/>
      <c r="O175" s="15"/>
      <c r="P175" s="14"/>
      <c r="Q175" s="14"/>
      <c r="R175" s="14"/>
    </row>
    <row r="176" spans="1:18" x14ac:dyDescent="0.25">
      <c r="A176" s="11" t="str">
        <f>IF(OR($E176="",$G176="",$H176="",$Q176="",$R176=""),"",PREFIJO&amp;TEXT(SUMPRODUCT(($E$2:$E176&lt;&gt;"")*($G$2:$G176&lt;&gt;"")*($H$2:$H176&lt;&gt;"")*($Q$2:$Q176&lt;&gt;"")*($R$2:$R176&lt;&gt;"")),"0000"))</f>
        <v/>
      </c>
      <c r="B176" s="11" t="str">
        <f t="shared" si="10"/>
        <v/>
      </c>
      <c r="C176" s="14"/>
      <c r="D176" s="14"/>
      <c r="E176" s="14"/>
      <c r="F176" s="14"/>
      <c r="G176" s="14"/>
      <c r="H176" s="14"/>
      <c r="I176" s="11" t="str">
        <f t="shared" si="11"/>
        <v/>
      </c>
      <c r="J176" s="14"/>
      <c r="K176" s="15"/>
      <c r="L176" s="14"/>
      <c r="M176" s="15"/>
      <c r="N176" s="14"/>
      <c r="O176" s="15"/>
      <c r="P176" s="14"/>
      <c r="Q176" s="14"/>
      <c r="R176" s="14"/>
    </row>
    <row r="177" spans="1:18" x14ac:dyDescent="0.25">
      <c r="A177" s="11" t="str">
        <f>IF(OR($E177="",$G177="",$H177="",$Q177="",$R177=""),"",PREFIJO&amp;TEXT(SUMPRODUCT(($E$2:$E177&lt;&gt;"")*($G$2:$G177&lt;&gt;"")*($H$2:$H177&lt;&gt;"")*($Q$2:$Q177&lt;&gt;"")*($R$2:$R177&lt;&gt;"")),"0000"))</f>
        <v/>
      </c>
      <c r="B177" s="11" t="str">
        <f t="shared" si="10"/>
        <v/>
      </c>
      <c r="C177" s="14"/>
      <c r="D177" s="14"/>
      <c r="E177" s="14"/>
      <c r="F177" s="14"/>
      <c r="G177" s="14"/>
      <c r="H177" s="14"/>
      <c r="I177" s="11" t="str">
        <f t="shared" si="11"/>
        <v/>
      </c>
      <c r="J177" s="14"/>
      <c r="K177" s="15"/>
      <c r="L177" s="14"/>
      <c r="M177" s="15"/>
      <c r="N177" s="14"/>
      <c r="O177" s="15"/>
      <c r="P177" s="14"/>
      <c r="Q177" s="14"/>
      <c r="R177" s="14"/>
    </row>
    <row r="178" spans="1:18" x14ac:dyDescent="0.25">
      <c r="A178" s="11" t="str">
        <f>IF(OR($E178="",$G178="",$H178="",$Q178="",$R178=""),"",PREFIJO&amp;TEXT(SUMPRODUCT(($E$2:$E178&lt;&gt;"")*($G$2:$G178&lt;&gt;"")*($H$2:$H178&lt;&gt;"")*($Q$2:$Q178&lt;&gt;"")*($R$2:$R178&lt;&gt;"")),"0000"))</f>
        <v/>
      </c>
      <c r="B178" s="11" t="str">
        <f t="shared" si="10"/>
        <v/>
      </c>
      <c r="C178" s="14"/>
      <c r="D178" s="14"/>
      <c r="E178" s="14"/>
      <c r="F178" s="14"/>
      <c r="G178" s="14"/>
      <c r="H178" s="14"/>
      <c r="I178" s="11" t="str">
        <f t="shared" si="11"/>
        <v/>
      </c>
      <c r="J178" s="14"/>
      <c r="K178" s="15"/>
      <c r="L178" s="14"/>
      <c r="M178" s="15"/>
      <c r="N178" s="14"/>
      <c r="O178" s="15"/>
      <c r="P178" s="14"/>
      <c r="Q178" s="14"/>
      <c r="R178" s="14"/>
    </row>
    <row r="179" spans="1:18" x14ac:dyDescent="0.25">
      <c r="A179" s="11" t="str">
        <f>IF(OR($E179="",$G179="",$H179="",$Q179="",$R179=""),"",PREFIJO&amp;TEXT(SUMPRODUCT(($E$2:$E179&lt;&gt;"")*($G$2:$G179&lt;&gt;"")*($H$2:$H179&lt;&gt;"")*($Q$2:$Q179&lt;&gt;"")*($R$2:$R179&lt;&gt;"")),"0000"))</f>
        <v/>
      </c>
      <c r="B179" s="11" t="str">
        <f t="shared" si="10"/>
        <v/>
      </c>
      <c r="C179" s="14"/>
      <c r="D179" s="14"/>
      <c r="E179" s="14"/>
      <c r="F179" s="14"/>
      <c r="G179" s="14"/>
      <c r="H179" s="14"/>
      <c r="I179" s="11" t="str">
        <f t="shared" si="11"/>
        <v/>
      </c>
      <c r="J179" s="14"/>
      <c r="K179" s="15"/>
      <c r="L179" s="14"/>
      <c r="M179" s="15"/>
      <c r="N179" s="14"/>
      <c r="O179" s="15"/>
      <c r="P179" s="14"/>
      <c r="Q179" s="14"/>
      <c r="R179" s="14"/>
    </row>
    <row r="180" spans="1:18" x14ac:dyDescent="0.25">
      <c r="A180" s="11" t="str">
        <f>IF(OR($E180="",$G180="",$H180="",$Q180="",$R180=""),"",PREFIJO&amp;TEXT(SUMPRODUCT(($E$2:$E180&lt;&gt;"")*($G$2:$G180&lt;&gt;"")*($H$2:$H180&lt;&gt;"")*($Q$2:$Q180&lt;&gt;"")*($R$2:$R180&lt;&gt;"")),"0000"))</f>
        <v/>
      </c>
      <c r="B180" s="11" t="str">
        <f t="shared" si="10"/>
        <v/>
      </c>
      <c r="C180" s="14"/>
      <c r="D180" s="14"/>
      <c r="E180" s="14"/>
      <c r="F180" s="14"/>
      <c r="G180" s="14"/>
      <c r="H180" s="14"/>
      <c r="I180" s="11" t="str">
        <f t="shared" si="11"/>
        <v/>
      </c>
      <c r="J180" s="14"/>
      <c r="K180" s="15"/>
      <c r="L180" s="14"/>
      <c r="M180" s="15"/>
      <c r="N180" s="14"/>
      <c r="O180" s="15"/>
      <c r="P180" s="14"/>
      <c r="Q180" s="14"/>
      <c r="R180" s="14"/>
    </row>
    <row r="181" spans="1:18" x14ac:dyDescent="0.25">
      <c r="A181" s="11" t="str">
        <f>IF(OR($E181="",$G181="",$H181="",$Q181="",$R181=""),"",PREFIJO&amp;TEXT(SUMPRODUCT(($E$2:$E181&lt;&gt;"")*($G$2:$G181&lt;&gt;"")*($H$2:$H181&lt;&gt;"")*($Q$2:$Q181&lt;&gt;"")*($R$2:$R181&lt;&gt;"")),"0000"))</f>
        <v/>
      </c>
      <c r="B181" s="11" t="str">
        <f t="shared" si="10"/>
        <v/>
      </c>
      <c r="C181" s="14"/>
      <c r="D181" s="14"/>
      <c r="E181" s="14"/>
      <c r="F181" s="14"/>
      <c r="G181" s="14"/>
      <c r="H181" s="14"/>
      <c r="I181" s="11" t="str">
        <f t="shared" si="11"/>
        <v/>
      </c>
      <c r="J181" s="14"/>
      <c r="K181" s="15"/>
      <c r="L181" s="14"/>
      <c r="M181" s="15"/>
      <c r="N181" s="14"/>
      <c r="O181" s="15"/>
      <c r="P181" s="14"/>
      <c r="Q181" s="14"/>
      <c r="R181" s="14"/>
    </row>
    <row r="182" spans="1:18" x14ac:dyDescent="0.25">
      <c r="A182" s="11" t="str">
        <f>IF(OR($E182="",$G182="",$H182="",$Q182="",$R182=""),"",PREFIJO&amp;TEXT(SUMPRODUCT(($E$2:$E182&lt;&gt;"")*($G$2:$G182&lt;&gt;"")*($H$2:$H182&lt;&gt;"")*($Q$2:$Q182&lt;&gt;"")*($R$2:$R182&lt;&gt;"")),"0000"))</f>
        <v/>
      </c>
      <c r="B182" s="11" t="str">
        <f t="shared" si="10"/>
        <v/>
      </c>
      <c r="C182" s="14"/>
      <c r="D182" s="14"/>
      <c r="E182" s="14"/>
      <c r="F182" s="14"/>
      <c r="G182" s="14"/>
      <c r="H182" s="14"/>
      <c r="I182" s="11" t="str">
        <f t="shared" si="11"/>
        <v/>
      </c>
      <c r="J182" s="14"/>
      <c r="K182" s="15"/>
      <c r="L182" s="14"/>
      <c r="M182" s="15"/>
      <c r="N182" s="14"/>
      <c r="O182" s="15"/>
      <c r="P182" s="14"/>
      <c r="Q182" s="14"/>
      <c r="R182" s="14"/>
    </row>
    <row r="183" spans="1:18" x14ac:dyDescent="0.25">
      <c r="A183" s="11" t="str">
        <f>IF(OR($E183="",$G183="",$H183="",$Q183="",$R183=""),"",PREFIJO&amp;TEXT(SUMPRODUCT(($E$2:$E183&lt;&gt;"")*($G$2:$G183&lt;&gt;"")*($H$2:$H183&lt;&gt;"")*($Q$2:$Q183&lt;&gt;"")*($R$2:$R183&lt;&gt;"")),"0000"))</f>
        <v/>
      </c>
      <c r="B183" s="11" t="str">
        <f t="shared" si="10"/>
        <v/>
      </c>
      <c r="C183" s="14"/>
      <c r="D183" s="14"/>
      <c r="E183" s="14"/>
      <c r="F183" s="14"/>
      <c r="G183" s="14"/>
      <c r="H183" s="14"/>
      <c r="I183" s="11" t="str">
        <f t="shared" si="11"/>
        <v/>
      </c>
      <c r="J183" s="14"/>
      <c r="K183" s="15"/>
      <c r="L183" s="14"/>
      <c r="M183" s="15"/>
      <c r="N183" s="14"/>
      <c r="O183" s="15"/>
      <c r="P183" s="14"/>
      <c r="Q183" s="14"/>
      <c r="R183" s="14"/>
    </row>
    <row r="184" spans="1:18" x14ac:dyDescent="0.25">
      <c r="A184" s="11" t="str">
        <f>IF(OR($E184="",$G184="",$H184="",$Q184="",$R184=""),"",PREFIJO&amp;TEXT(SUMPRODUCT(($E$2:$E184&lt;&gt;"")*($G$2:$G184&lt;&gt;"")*($H$2:$H184&lt;&gt;"")*($Q$2:$Q184&lt;&gt;"")*($R$2:$R184&lt;&gt;"")),"0000"))</f>
        <v/>
      </c>
      <c r="B184" s="11" t="str">
        <f t="shared" si="10"/>
        <v/>
      </c>
      <c r="C184" s="14"/>
      <c r="D184" s="14"/>
      <c r="E184" s="14"/>
      <c r="F184" s="14"/>
      <c r="G184" s="14"/>
      <c r="H184" s="14"/>
      <c r="I184" s="11" t="str">
        <f t="shared" si="11"/>
        <v/>
      </c>
      <c r="J184" s="14"/>
      <c r="K184" s="15"/>
      <c r="L184" s="14"/>
      <c r="M184" s="15"/>
      <c r="N184" s="14"/>
      <c r="O184" s="15"/>
      <c r="P184" s="14"/>
      <c r="Q184" s="14"/>
      <c r="R184" s="14"/>
    </row>
    <row r="185" spans="1:18" x14ac:dyDescent="0.25">
      <c r="A185" s="11" t="str">
        <f>IF(OR($E185="",$G185="",$H185="",$Q185="",$R185=""),"",PREFIJO&amp;TEXT(SUMPRODUCT(($E$2:$E185&lt;&gt;"")*($G$2:$G185&lt;&gt;"")*($H$2:$H185&lt;&gt;"")*($Q$2:$Q185&lt;&gt;"")*($R$2:$R185&lt;&gt;"")),"0000"))</f>
        <v/>
      </c>
      <c r="B185" s="11" t="str">
        <f t="shared" si="10"/>
        <v/>
      </c>
      <c r="C185" s="14"/>
      <c r="D185" s="14"/>
      <c r="E185" s="14"/>
      <c r="F185" s="14"/>
      <c r="G185" s="14"/>
      <c r="H185" s="14"/>
      <c r="I185" s="11" t="str">
        <f t="shared" si="11"/>
        <v/>
      </c>
      <c r="J185" s="14"/>
      <c r="K185" s="15"/>
      <c r="L185" s="14"/>
      <c r="M185" s="15"/>
      <c r="N185" s="14"/>
      <c r="O185" s="15"/>
      <c r="P185" s="14"/>
      <c r="Q185" s="14"/>
      <c r="R185" s="14"/>
    </row>
    <row r="186" spans="1:18" x14ac:dyDescent="0.25">
      <c r="A186" s="11" t="str">
        <f>IF(OR($E186="",$G186="",$H186="",$Q186="",$R186=""),"",PREFIJO&amp;TEXT(SUMPRODUCT(($E$2:$E186&lt;&gt;"")*($G$2:$G186&lt;&gt;"")*($H$2:$H186&lt;&gt;"")*($Q$2:$Q186&lt;&gt;"")*($R$2:$R186&lt;&gt;"")),"0000"))</f>
        <v/>
      </c>
      <c r="B186" s="11" t="str">
        <f t="shared" si="10"/>
        <v/>
      </c>
      <c r="C186" s="14"/>
      <c r="D186" s="14"/>
      <c r="E186" s="14"/>
      <c r="F186" s="14"/>
      <c r="G186" s="14"/>
      <c r="H186" s="14"/>
      <c r="I186" s="11" t="str">
        <f t="shared" si="11"/>
        <v/>
      </c>
      <c r="J186" s="14"/>
      <c r="K186" s="15"/>
      <c r="L186" s="14"/>
      <c r="M186" s="15"/>
      <c r="N186" s="14"/>
      <c r="O186" s="15"/>
      <c r="P186" s="14"/>
      <c r="Q186" s="14"/>
      <c r="R186" s="14"/>
    </row>
    <row r="187" spans="1:18" x14ac:dyDescent="0.25">
      <c r="A187" s="11" t="str">
        <f>IF(OR($E187="",$G187="",$H187="",$Q187="",$R187=""),"",PREFIJO&amp;TEXT(SUMPRODUCT(($E$2:$E187&lt;&gt;"")*($G$2:$G187&lt;&gt;"")*($H$2:$H187&lt;&gt;"")*($Q$2:$Q187&lt;&gt;"")*($R$2:$R187&lt;&gt;"")),"0000"))</f>
        <v/>
      </c>
      <c r="B187" s="11" t="str">
        <f t="shared" si="10"/>
        <v/>
      </c>
      <c r="C187" s="14"/>
      <c r="D187" s="14"/>
      <c r="E187" s="14"/>
      <c r="F187" s="14"/>
      <c r="G187" s="14"/>
      <c r="H187" s="14"/>
      <c r="I187" s="11" t="str">
        <f t="shared" si="11"/>
        <v/>
      </c>
      <c r="J187" s="14"/>
      <c r="K187" s="15"/>
      <c r="L187" s="14"/>
      <c r="M187" s="15"/>
      <c r="N187" s="14"/>
      <c r="O187" s="15"/>
      <c r="P187" s="14"/>
      <c r="Q187" s="14"/>
      <c r="R187" s="14"/>
    </row>
    <row r="188" spans="1:18" x14ac:dyDescent="0.25">
      <c r="A188" s="11" t="str">
        <f>IF(OR($E188="",$G188="",$H188="",$Q188="",$R188=""),"",PREFIJO&amp;TEXT(SUMPRODUCT(($E$2:$E188&lt;&gt;"")*($G$2:$G188&lt;&gt;"")*($H$2:$H188&lt;&gt;"")*($Q$2:$Q188&lt;&gt;"")*($R$2:$R188&lt;&gt;"")),"0000"))</f>
        <v/>
      </c>
      <c r="B188" s="11" t="str">
        <f t="shared" si="10"/>
        <v/>
      </c>
      <c r="C188" s="14"/>
      <c r="D188" s="14"/>
      <c r="E188" s="14"/>
      <c r="F188" s="14"/>
      <c r="G188" s="14"/>
      <c r="H188" s="14"/>
      <c r="I188" s="11" t="str">
        <f t="shared" si="11"/>
        <v/>
      </c>
      <c r="J188" s="14"/>
      <c r="K188" s="15"/>
      <c r="L188" s="14"/>
      <c r="M188" s="15"/>
      <c r="N188" s="14"/>
      <c r="O188" s="15"/>
      <c r="P188" s="14"/>
      <c r="Q188" s="14"/>
      <c r="R188" s="14"/>
    </row>
    <row r="189" spans="1:18" x14ac:dyDescent="0.25">
      <c r="A189" s="11" t="str">
        <f>IF(OR($E189="",$G189="",$H189="",$Q189="",$R189=""),"",PREFIJO&amp;TEXT(SUMPRODUCT(($E$2:$E189&lt;&gt;"")*($G$2:$G189&lt;&gt;"")*($H$2:$H189&lt;&gt;"")*($Q$2:$Q189&lt;&gt;"")*($R$2:$R189&lt;&gt;"")),"0000"))</f>
        <v/>
      </c>
      <c r="B189" s="11" t="str">
        <f t="shared" si="10"/>
        <v/>
      </c>
      <c r="C189" s="14"/>
      <c r="D189" s="14"/>
      <c r="E189" s="14"/>
      <c r="F189" s="14"/>
      <c r="G189" s="14"/>
      <c r="H189" s="14"/>
      <c r="I189" s="11" t="str">
        <f t="shared" si="11"/>
        <v/>
      </c>
      <c r="J189" s="14"/>
      <c r="K189" s="15"/>
      <c r="L189" s="14"/>
      <c r="M189" s="15"/>
      <c r="N189" s="14"/>
      <c r="O189" s="15"/>
      <c r="P189" s="14"/>
      <c r="Q189" s="14"/>
      <c r="R189" s="14"/>
    </row>
    <row r="190" spans="1:18" x14ac:dyDescent="0.25">
      <c r="A190" s="11" t="str">
        <f>IF(OR($E190="",$G190="",$H190="",$Q190="",$R190=""),"",PREFIJO&amp;TEXT(SUMPRODUCT(($E$2:$E190&lt;&gt;"")*($G$2:$G190&lt;&gt;"")*($H$2:$H190&lt;&gt;"")*($Q$2:$Q190&lt;&gt;"")*($R$2:$R190&lt;&gt;"")),"0000"))</f>
        <v/>
      </c>
      <c r="B190" s="11" t="str">
        <f t="shared" si="10"/>
        <v/>
      </c>
      <c r="C190" s="14"/>
      <c r="D190" s="14"/>
      <c r="E190" s="14"/>
      <c r="F190" s="14"/>
      <c r="G190" s="14"/>
      <c r="H190" s="14"/>
      <c r="I190" s="11" t="str">
        <f t="shared" si="11"/>
        <v/>
      </c>
      <c r="J190" s="14"/>
      <c r="K190" s="15"/>
      <c r="L190" s="14"/>
      <c r="M190" s="15"/>
      <c r="N190" s="14"/>
      <c r="O190" s="15"/>
      <c r="P190" s="14"/>
      <c r="Q190" s="14"/>
      <c r="R190" s="14"/>
    </row>
    <row r="191" spans="1:18" x14ac:dyDescent="0.25">
      <c r="A191" s="11" t="str">
        <f>IF(OR($E191="",$G191="",$H191="",$Q191="",$R191=""),"",PREFIJO&amp;TEXT(SUMPRODUCT(($E$2:$E191&lt;&gt;"")*($G$2:$G191&lt;&gt;"")*($H$2:$H191&lt;&gt;"")*($Q$2:$Q191&lt;&gt;"")*($R$2:$R191&lt;&gt;"")),"0000"))</f>
        <v/>
      </c>
      <c r="B191" s="11" t="str">
        <f t="shared" si="10"/>
        <v/>
      </c>
      <c r="C191" s="14"/>
      <c r="D191" s="14"/>
      <c r="E191" s="14"/>
      <c r="F191" s="14"/>
      <c r="G191" s="14"/>
      <c r="H191" s="14"/>
      <c r="I191" s="11" t="str">
        <f t="shared" si="11"/>
        <v/>
      </c>
      <c r="J191" s="14"/>
      <c r="K191" s="15"/>
      <c r="L191" s="14"/>
      <c r="M191" s="15"/>
      <c r="N191" s="14"/>
      <c r="O191" s="15"/>
      <c r="P191" s="14"/>
      <c r="Q191" s="14"/>
      <c r="R191" s="14"/>
    </row>
    <row r="192" spans="1:18" x14ac:dyDescent="0.25">
      <c r="A192" s="11" t="str">
        <f>IF(OR($E192="",$G192="",$H192="",$Q192="",$R192=""),"",PREFIJO&amp;TEXT(SUMPRODUCT(($E$2:$E192&lt;&gt;"")*($G$2:$G192&lt;&gt;"")*($H$2:$H192&lt;&gt;"")*($Q$2:$Q192&lt;&gt;"")*($R$2:$R192&lt;&gt;"")),"0000"))</f>
        <v/>
      </c>
      <c r="B192" s="11" t="str">
        <f t="shared" si="10"/>
        <v/>
      </c>
      <c r="C192" s="14"/>
      <c r="D192" s="14"/>
      <c r="E192" s="14"/>
      <c r="F192" s="14"/>
      <c r="G192" s="14"/>
      <c r="H192" s="14"/>
      <c r="I192" s="11" t="str">
        <f t="shared" si="11"/>
        <v/>
      </c>
      <c r="J192" s="14"/>
      <c r="K192" s="15"/>
      <c r="L192" s="14"/>
      <c r="M192" s="15"/>
      <c r="N192" s="14"/>
      <c r="O192" s="15"/>
      <c r="P192" s="14"/>
      <c r="Q192" s="14"/>
      <c r="R192" s="14"/>
    </row>
    <row r="193" spans="1:18" x14ac:dyDescent="0.25">
      <c r="A193" s="11" t="str">
        <f>IF(OR($E193="",$G193="",$H193="",$Q193="",$R193=""),"",PREFIJO&amp;TEXT(SUMPRODUCT(($E$2:$E193&lt;&gt;"")*($G$2:$G193&lt;&gt;"")*($H$2:$H193&lt;&gt;"")*($Q$2:$Q193&lt;&gt;"")*($R$2:$R193&lt;&gt;"")),"0000"))</f>
        <v/>
      </c>
      <c r="B193" s="11" t="str">
        <f t="shared" si="10"/>
        <v/>
      </c>
      <c r="C193" s="14"/>
      <c r="D193" s="14"/>
      <c r="E193" s="14"/>
      <c r="F193" s="14"/>
      <c r="G193" s="14"/>
      <c r="H193" s="14"/>
      <c r="I193" s="11" t="str">
        <f t="shared" si="11"/>
        <v/>
      </c>
      <c r="J193" s="14"/>
      <c r="K193" s="15"/>
      <c r="L193" s="14"/>
      <c r="M193" s="15"/>
      <c r="N193" s="14"/>
      <c r="O193" s="15"/>
      <c r="P193" s="14"/>
      <c r="Q193" s="14"/>
      <c r="R193" s="14"/>
    </row>
    <row r="194" spans="1:18" x14ac:dyDescent="0.25">
      <c r="A194" s="11" t="str">
        <f>IF(OR($E194="",$G194="",$H194="",$Q194="",$R194=""),"",PREFIJO&amp;TEXT(SUMPRODUCT(($E$2:$E194&lt;&gt;"")*($G$2:$G194&lt;&gt;"")*($H$2:$H194&lt;&gt;"")*($Q$2:$Q194&lt;&gt;"")*($R$2:$R194&lt;&gt;"")),"0000"))</f>
        <v/>
      </c>
      <c r="B194" s="11" t="str">
        <f t="shared" si="10"/>
        <v/>
      </c>
      <c r="C194" s="14"/>
      <c r="D194" s="14"/>
      <c r="E194" s="14"/>
      <c r="F194" s="14"/>
      <c r="G194" s="14"/>
      <c r="H194" s="14"/>
      <c r="I194" s="11" t="str">
        <f t="shared" si="11"/>
        <v/>
      </c>
      <c r="J194" s="14"/>
      <c r="K194" s="15"/>
      <c r="L194" s="14"/>
      <c r="M194" s="15"/>
      <c r="N194" s="14"/>
      <c r="O194" s="15"/>
      <c r="P194" s="14"/>
      <c r="Q194" s="14"/>
      <c r="R194" s="14"/>
    </row>
    <row r="195" spans="1:18" x14ac:dyDescent="0.25">
      <c r="A195" s="11" t="str">
        <f>IF(OR($E195="",$G195="",$H195="",$Q195="",$R195=""),"",PREFIJO&amp;TEXT(SUMPRODUCT(($E$2:$E195&lt;&gt;"")*($G$2:$G195&lt;&gt;"")*($H$2:$H195&lt;&gt;"")*($Q$2:$Q195&lt;&gt;"")*($R$2:$R195&lt;&gt;"")),"0000"))</f>
        <v/>
      </c>
      <c r="B195" s="11" t="str">
        <f t="shared" si="10"/>
        <v/>
      </c>
      <c r="C195" s="14"/>
      <c r="D195" s="14"/>
      <c r="E195" s="14"/>
      <c r="F195" s="14"/>
      <c r="G195" s="14"/>
      <c r="H195" s="14"/>
      <c r="I195" s="11" t="str">
        <f t="shared" si="11"/>
        <v/>
      </c>
      <c r="J195" s="14"/>
      <c r="K195" s="15"/>
      <c r="L195" s="14"/>
      <c r="M195" s="15"/>
      <c r="N195" s="14"/>
      <c r="O195" s="15"/>
      <c r="P195" s="14"/>
      <c r="Q195" s="14"/>
      <c r="R195" s="14"/>
    </row>
    <row r="196" spans="1:18" x14ac:dyDescent="0.25">
      <c r="A196" s="11" t="str">
        <f>IF(OR($E196="",$G196="",$H196="",$Q196="",$R196=""),"",PREFIJO&amp;TEXT(SUMPRODUCT(($E$2:$E196&lt;&gt;"")*($G$2:$G196&lt;&gt;"")*($H$2:$H196&lt;&gt;"")*($Q$2:$Q196&lt;&gt;"")*($R$2:$R196&lt;&gt;"")),"0000"))</f>
        <v/>
      </c>
      <c r="B196" s="11" t="str">
        <f t="shared" si="10"/>
        <v/>
      </c>
      <c r="C196" s="14"/>
      <c r="D196" s="14"/>
      <c r="E196" s="14"/>
      <c r="F196" s="14"/>
      <c r="G196" s="14"/>
      <c r="H196" s="14"/>
      <c r="I196" s="11" t="str">
        <f t="shared" si="11"/>
        <v/>
      </c>
      <c r="J196" s="14"/>
      <c r="K196" s="15"/>
      <c r="L196" s="14"/>
      <c r="M196" s="15"/>
      <c r="N196" s="14"/>
      <c r="O196" s="15"/>
      <c r="P196" s="14"/>
      <c r="Q196" s="14"/>
      <c r="R196" s="14"/>
    </row>
    <row r="197" spans="1:18" x14ac:dyDescent="0.25">
      <c r="A197" s="11" t="str">
        <f>IF(OR($E197="",$G197="",$H197="",$Q197="",$R197=""),"",PREFIJO&amp;TEXT(SUMPRODUCT(($E$2:$E197&lt;&gt;"")*($G$2:$G197&lt;&gt;"")*($H$2:$H197&lt;&gt;"")*($Q$2:$Q197&lt;&gt;"")*($R$2:$R197&lt;&gt;"")),"0000"))</f>
        <v/>
      </c>
      <c r="B197" s="11" t="str">
        <f t="shared" si="10"/>
        <v/>
      </c>
      <c r="C197" s="14"/>
      <c r="D197" s="14"/>
      <c r="E197" s="14"/>
      <c r="F197" s="14"/>
      <c r="G197" s="14"/>
      <c r="H197" s="14"/>
      <c r="I197" s="11" t="str">
        <f t="shared" si="11"/>
        <v/>
      </c>
      <c r="J197" s="14"/>
      <c r="K197" s="15"/>
      <c r="L197" s="14"/>
      <c r="M197" s="15"/>
      <c r="N197" s="14"/>
      <c r="O197" s="15"/>
      <c r="P197" s="14"/>
      <c r="Q197" s="14"/>
      <c r="R197" s="14"/>
    </row>
    <row r="198" spans="1:18" x14ac:dyDescent="0.25">
      <c r="A198" s="11" t="str">
        <f>IF(OR($E198="",$G198="",$H198="",$Q198="",$R198=""),"",PREFIJO&amp;TEXT(SUMPRODUCT(($E$2:$E198&lt;&gt;"")*($G$2:$G198&lt;&gt;"")*($H$2:$H198&lt;&gt;"")*($Q$2:$Q198&lt;&gt;"")*($R$2:$R198&lt;&gt;"")),"0000"))</f>
        <v/>
      </c>
      <c r="B198" s="11" t="str">
        <f t="shared" si="10"/>
        <v/>
      </c>
      <c r="C198" s="14"/>
      <c r="D198" s="14"/>
      <c r="E198" s="14"/>
      <c r="F198" s="14"/>
      <c r="G198" s="14"/>
      <c r="H198" s="14"/>
      <c r="I198" s="11" t="str">
        <f t="shared" si="11"/>
        <v/>
      </c>
      <c r="J198" s="14"/>
      <c r="K198" s="15"/>
      <c r="L198" s="14"/>
      <c r="M198" s="15"/>
      <c r="N198" s="14"/>
      <c r="O198" s="15"/>
      <c r="P198" s="14"/>
      <c r="Q198" s="14"/>
      <c r="R198" s="14"/>
    </row>
    <row r="199" spans="1:18" x14ac:dyDescent="0.25">
      <c r="A199" s="11" t="str">
        <f>IF(OR($E199="",$G199="",$H199="",$Q199="",$R199=""),"",PREFIJO&amp;TEXT(SUMPRODUCT(($E$2:$E199&lt;&gt;"")*($G$2:$G199&lt;&gt;"")*($H$2:$H199&lt;&gt;"")*($Q$2:$Q199&lt;&gt;"")*($R$2:$R199&lt;&gt;"")),"0000"))</f>
        <v/>
      </c>
      <c r="B199" s="11" t="str">
        <f t="shared" si="10"/>
        <v/>
      </c>
      <c r="C199" s="14"/>
      <c r="D199" s="14"/>
      <c r="E199" s="14"/>
      <c r="F199" s="14"/>
      <c r="G199" s="14"/>
      <c r="H199" s="14"/>
      <c r="I199" s="11" t="str">
        <f t="shared" si="11"/>
        <v/>
      </c>
      <c r="J199" s="14"/>
      <c r="K199" s="15"/>
      <c r="L199" s="14"/>
      <c r="M199" s="15"/>
      <c r="N199" s="14"/>
      <c r="O199" s="15"/>
      <c r="P199" s="14"/>
      <c r="Q199" s="14"/>
      <c r="R199" s="14"/>
    </row>
    <row r="200" spans="1:18" x14ac:dyDescent="0.25">
      <c r="A200" s="11" t="str">
        <f>IF(OR($E200="",$G200="",$H200="",$Q200="",$R200=""),"",PREFIJO&amp;TEXT(SUMPRODUCT(($E$2:$E200&lt;&gt;"")*($G$2:$G200&lt;&gt;"")*($H$2:$H200&lt;&gt;"")*($Q$2:$Q200&lt;&gt;"")*($R$2:$R200&lt;&gt;"")),"0000"))</f>
        <v/>
      </c>
      <c r="B200" s="11" t="str">
        <f t="shared" si="10"/>
        <v/>
      </c>
      <c r="C200" s="14"/>
      <c r="D200" s="14"/>
      <c r="E200" s="14"/>
      <c r="F200" s="14"/>
      <c r="G200" s="14"/>
      <c r="H200" s="14"/>
      <c r="I200" s="11" t="str">
        <f t="shared" si="11"/>
        <v/>
      </c>
      <c r="J200" s="14"/>
      <c r="K200" s="15"/>
      <c r="L200" s="14"/>
      <c r="M200" s="15"/>
      <c r="N200" s="14"/>
      <c r="O200" s="15"/>
      <c r="P200" s="14"/>
      <c r="Q200" s="14"/>
      <c r="R200" s="14"/>
    </row>
    <row r="201" spans="1:18" x14ac:dyDescent="0.25">
      <c r="A201" s="11" t="str">
        <f>IF(OR($E201="",$G201="",$H201="",$Q201="",$R201=""),"",PREFIJO&amp;TEXT(SUMPRODUCT(($E$2:$E201&lt;&gt;"")*($G$2:$G201&lt;&gt;"")*($H$2:$H201&lt;&gt;"")*($Q$2:$Q201&lt;&gt;"")*($R$2:$R201&lt;&gt;"")),"0000"))</f>
        <v/>
      </c>
      <c r="B201" s="11" t="str">
        <f t="shared" si="10"/>
        <v/>
      </c>
      <c r="C201" s="14"/>
      <c r="D201" s="14"/>
      <c r="E201" s="14"/>
      <c r="F201" s="14"/>
      <c r="G201" s="14"/>
      <c r="H201" s="14"/>
      <c r="I201" s="11" t="str">
        <f t="shared" si="11"/>
        <v/>
      </c>
      <c r="J201" s="14"/>
      <c r="K201" s="15"/>
      <c r="L201" s="14"/>
      <c r="M201" s="15"/>
      <c r="N201" s="14"/>
      <c r="O201" s="15"/>
      <c r="P201" s="14"/>
      <c r="Q201" s="14"/>
      <c r="R201" s="14"/>
    </row>
    <row r="202" spans="1:18" x14ac:dyDescent="0.25">
      <c r="A202" s="11" t="str">
        <f>IF(OR($E202="",$G202="",$H202="",$Q202="",$R202=""),"",PREFIJO&amp;TEXT(SUMPRODUCT(($E$2:$E202&lt;&gt;"")*($G$2:$G202&lt;&gt;"")*($H$2:$H202&lt;&gt;"")*($Q$2:$Q202&lt;&gt;"")*($R$2:$R202&lt;&gt;"")),"0000"))</f>
        <v/>
      </c>
      <c r="B202" s="11" t="str">
        <f t="shared" si="10"/>
        <v/>
      </c>
      <c r="C202" s="14"/>
      <c r="D202" s="14"/>
      <c r="E202" s="14"/>
      <c r="F202" s="14"/>
      <c r="G202" s="14"/>
      <c r="H202" s="14"/>
      <c r="I202" s="11" t="str">
        <f t="shared" si="11"/>
        <v/>
      </c>
      <c r="J202" s="14"/>
      <c r="K202" s="15"/>
      <c r="L202" s="14"/>
      <c r="M202" s="15"/>
      <c r="N202" s="14"/>
      <c r="O202" s="15"/>
      <c r="P202" s="14"/>
      <c r="Q202" s="14"/>
      <c r="R202" s="14"/>
    </row>
    <row r="203" spans="1:18" x14ac:dyDescent="0.25">
      <c r="A203" s="11" t="str">
        <f>IF(OR($E203="",$G203="",$H203="",$Q203="",$R203=""),"",PREFIJO&amp;TEXT(SUMPRODUCT(($E$2:$E203&lt;&gt;"")*($G$2:$G203&lt;&gt;"")*($H$2:$H203&lt;&gt;"")*($Q$2:$Q203&lt;&gt;"")*($R$2:$R203&lt;&gt;"")),"0000"))</f>
        <v/>
      </c>
      <c r="B203" s="11" t="str">
        <f t="shared" si="10"/>
        <v/>
      </c>
      <c r="C203" s="14"/>
      <c r="D203" s="14"/>
      <c r="E203" s="14"/>
      <c r="F203" s="14"/>
      <c r="G203" s="14"/>
      <c r="H203" s="14"/>
      <c r="I203" s="11" t="str">
        <f t="shared" si="11"/>
        <v/>
      </c>
      <c r="J203" s="14"/>
      <c r="K203" s="15"/>
      <c r="L203" s="14"/>
      <c r="M203" s="15"/>
      <c r="N203" s="14"/>
      <c r="O203" s="15"/>
      <c r="P203" s="14"/>
      <c r="Q203" s="14"/>
      <c r="R203" s="14"/>
    </row>
    <row r="204" spans="1:18" x14ac:dyDescent="0.25">
      <c r="A204" s="11" t="str">
        <f>IF(OR($E204="",$G204="",$H204="",$Q204="",$R204=""),"",PREFIJO&amp;TEXT(SUMPRODUCT(($E$2:$E204&lt;&gt;"")*($G$2:$G204&lt;&gt;"")*($H$2:$H204&lt;&gt;"")*($Q$2:$Q204&lt;&gt;"")*($R$2:$R204&lt;&gt;"")),"0000"))</f>
        <v/>
      </c>
      <c r="B204" s="11" t="str">
        <f t="shared" si="10"/>
        <v/>
      </c>
      <c r="C204" s="14"/>
      <c r="D204" s="14"/>
      <c r="E204" s="14"/>
      <c r="F204" s="14"/>
      <c r="G204" s="14"/>
      <c r="H204" s="14"/>
      <c r="I204" s="11" t="str">
        <f t="shared" si="11"/>
        <v/>
      </c>
      <c r="J204" s="14"/>
      <c r="K204" s="15"/>
      <c r="L204" s="14"/>
      <c r="M204" s="15"/>
      <c r="N204" s="14"/>
      <c r="O204" s="15"/>
      <c r="P204" s="14"/>
      <c r="Q204" s="14"/>
      <c r="R204" s="14"/>
    </row>
    <row r="205" spans="1:18" x14ac:dyDescent="0.25">
      <c r="A205" s="11" t="str">
        <f>IF(OR($E205="",$G205="",$H205="",$Q205="",$R205=""),"",PREFIJO&amp;TEXT(SUMPRODUCT(($E$2:$E205&lt;&gt;"")*($G$2:$G205&lt;&gt;"")*($H$2:$H205&lt;&gt;"")*($Q$2:$Q205&lt;&gt;"")*($R$2:$R205&lt;&gt;"")),"0000"))</f>
        <v/>
      </c>
      <c r="B205" s="11" t="str">
        <f t="shared" si="10"/>
        <v/>
      </c>
      <c r="C205" s="14"/>
      <c r="D205" s="14"/>
      <c r="E205" s="14"/>
      <c r="F205" s="14"/>
      <c r="G205" s="14"/>
      <c r="H205" s="14"/>
      <c r="I205" s="11" t="str">
        <f t="shared" si="11"/>
        <v/>
      </c>
      <c r="J205" s="14"/>
      <c r="K205" s="15"/>
      <c r="L205" s="14"/>
      <c r="M205" s="15"/>
      <c r="N205" s="14"/>
      <c r="O205" s="15"/>
      <c r="P205" s="14"/>
      <c r="Q205" s="14"/>
      <c r="R205" s="14"/>
    </row>
    <row r="206" spans="1:18" x14ac:dyDescent="0.25">
      <c r="A206" s="11" t="str">
        <f>IF(OR($E206="",$G206="",$H206="",$Q206="",$R206=""),"",PREFIJO&amp;TEXT(SUMPRODUCT(($E$2:$E206&lt;&gt;"")*($G$2:$G206&lt;&gt;"")*($H$2:$H206&lt;&gt;"")*($Q$2:$Q206&lt;&gt;"")*($R$2:$R206&lt;&gt;"")),"0000"))</f>
        <v/>
      </c>
      <c r="B206" s="11" t="str">
        <f t="shared" ref="B206:B213" si="12">IF($A206="","",GRUPO_NOMBRE)</f>
        <v/>
      </c>
      <c r="C206" s="14"/>
      <c r="D206" s="14"/>
      <c r="E206" s="14"/>
      <c r="F206" s="14"/>
      <c r="G206" s="14"/>
      <c r="H206" s="14"/>
      <c r="I206" s="11" t="str">
        <f t="shared" ref="I206:I213" si="13">IF($C206="","",IFERROR(INDEX(CAT_CV,MATCH($C206,CAT_NOMBRE,0)),""))</f>
        <v/>
      </c>
      <c r="J206" s="14"/>
      <c r="K206" s="15"/>
      <c r="L206" s="14"/>
      <c r="M206" s="15"/>
      <c r="N206" s="14"/>
      <c r="O206" s="15"/>
      <c r="P206" s="14"/>
      <c r="Q206" s="14"/>
      <c r="R206" s="14"/>
    </row>
    <row r="207" spans="1:18" x14ac:dyDescent="0.25">
      <c r="A207" s="11" t="str">
        <f>IF(OR($E207="",$G207="",$H207="",$Q207="",$R207=""),"",PREFIJO&amp;TEXT(SUMPRODUCT(($E$2:$E207&lt;&gt;"")*($G$2:$G207&lt;&gt;"")*($H$2:$H207&lt;&gt;"")*($Q$2:$Q207&lt;&gt;"")*($R$2:$R207&lt;&gt;"")),"0000"))</f>
        <v/>
      </c>
      <c r="B207" s="11" t="str">
        <f t="shared" si="12"/>
        <v/>
      </c>
      <c r="C207" s="14"/>
      <c r="D207" s="14"/>
      <c r="E207" s="14"/>
      <c r="F207" s="14"/>
      <c r="G207" s="14"/>
      <c r="H207" s="14"/>
      <c r="I207" s="11" t="str">
        <f t="shared" si="13"/>
        <v/>
      </c>
      <c r="J207" s="14"/>
      <c r="K207" s="15"/>
      <c r="L207" s="14"/>
      <c r="M207" s="15"/>
      <c r="N207" s="14"/>
      <c r="O207" s="15"/>
      <c r="P207" s="14"/>
      <c r="Q207" s="14"/>
      <c r="R207" s="14"/>
    </row>
    <row r="208" spans="1:18" x14ac:dyDescent="0.25">
      <c r="A208" s="11" t="str">
        <f>IF(OR($E208="",$G208="",$H208="",$Q208="",$R208=""),"",PREFIJO&amp;TEXT(SUMPRODUCT(($E$2:$E208&lt;&gt;"")*($G$2:$G208&lt;&gt;"")*($H$2:$H208&lt;&gt;"")*($Q$2:$Q208&lt;&gt;"")*($R$2:$R208&lt;&gt;"")),"0000"))</f>
        <v/>
      </c>
      <c r="B208" s="11" t="str">
        <f t="shared" si="12"/>
        <v/>
      </c>
      <c r="C208" s="14"/>
      <c r="D208" s="14"/>
      <c r="E208" s="14"/>
      <c r="F208" s="14"/>
      <c r="G208" s="14"/>
      <c r="H208" s="14"/>
      <c r="I208" s="11" t="str">
        <f t="shared" si="13"/>
        <v/>
      </c>
      <c r="J208" s="14"/>
      <c r="K208" s="15"/>
      <c r="L208" s="14"/>
      <c r="M208" s="15"/>
      <c r="N208" s="14"/>
      <c r="O208" s="15"/>
      <c r="P208" s="14"/>
      <c r="Q208" s="14"/>
      <c r="R208" s="14"/>
    </row>
    <row r="209" spans="1:18" x14ac:dyDescent="0.25">
      <c r="A209" s="11" t="str">
        <f>IF(OR($E209="",$G209="",$H209="",$Q209="",$R209=""),"",PREFIJO&amp;TEXT(SUMPRODUCT(($E$2:$E209&lt;&gt;"")*($G$2:$G209&lt;&gt;"")*($H$2:$H209&lt;&gt;"")*($Q$2:$Q209&lt;&gt;"")*($R$2:$R209&lt;&gt;"")),"0000"))</f>
        <v/>
      </c>
      <c r="B209" s="11" t="str">
        <f t="shared" si="12"/>
        <v/>
      </c>
      <c r="C209" s="14"/>
      <c r="D209" s="14"/>
      <c r="E209" s="14"/>
      <c r="F209" s="14"/>
      <c r="G209" s="14"/>
      <c r="H209" s="14"/>
      <c r="I209" s="11" t="str">
        <f t="shared" si="13"/>
        <v/>
      </c>
      <c r="J209" s="14"/>
      <c r="K209" s="15"/>
      <c r="L209" s="14"/>
      <c r="M209" s="15"/>
      <c r="N209" s="14"/>
      <c r="O209" s="15"/>
      <c r="P209" s="14"/>
      <c r="Q209" s="14"/>
      <c r="R209" s="14"/>
    </row>
    <row r="210" spans="1:18" x14ac:dyDescent="0.25">
      <c r="A210" s="11" t="str">
        <f>IF(OR($E210="",$G210="",$H210="",$Q210="",$R210=""),"",PREFIJO&amp;TEXT(SUMPRODUCT(($E$2:$E210&lt;&gt;"")*($G$2:$G210&lt;&gt;"")*($H$2:$H210&lt;&gt;"")*($Q$2:$Q210&lt;&gt;"")*($R$2:$R210&lt;&gt;"")),"0000"))</f>
        <v/>
      </c>
      <c r="B210" s="11" t="str">
        <f t="shared" si="12"/>
        <v/>
      </c>
      <c r="C210" s="14"/>
      <c r="D210" s="14"/>
      <c r="E210" s="14"/>
      <c r="F210" s="14"/>
      <c r="G210" s="14"/>
      <c r="H210" s="14"/>
      <c r="I210" s="11" t="str">
        <f t="shared" si="13"/>
        <v/>
      </c>
      <c r="J210" s="14"/>
      <c r="K210" s="15"/>
      <c r="L210" s="14"/>
      <c r="M210" s="15"/>
      <c r="N210" s="14"/>
      <c r="O210" s="15"/>
      <c r="P210" s="14"/>
      <c r="Q210" s="14"/>
      <c r="R210" s="14"/>
    </row>
    <row r="211" spans="1:18" x14ac:dyDescent="0.25">
      <c r="A211" s="11" t="str">
        <f>IF(OR($E211="",$G211="",$H211="",$Q211="",$R211=""),"",PREFIJO&amp;TEXT(SUMPRODUCT(($E$2:$E211&lt;&gt;"")*($G$2:$G211&lt;&gt;"")*($H$2:$H211&lt;&gt;"")*($Q$2:$Q211&lt;&gt;"")*($R$2:$R211&lt;&gt;"")),"0000"))</f>
        <v/>
      </c>
      <c r="B211" s="11" t="str">
        <f t="shared" si="12"/>
        <v/>
      </c>
      <c r="C211" s="14"/>
      <c r="D211" s="14"/>
      <c r="E211" s="14"/>
      <c r="F211" s="14"/>
      <c r="G211" s="14"/>
      <c r="H211" s="14"/>
      <c r="I211" s="11" t="str">
        <f t="shared" si="13"/>
        <v/>
      </c>
      <c r="J211" s="14"/>
      <c r="K211" s="15"/>
      <c r="L211" s="14"/>
      <c r="M211" s="15"/>
      <c r="N211" s="14"/>
      <c r="O211" s="15"/>
      <c r="P211" s="14"/>
      <c r="Q211" s="14"/>
      <c r="R211" s="14"/>
    </row>
    <row r="212" spans="1:18" x14ac:dyDescent="0.25">
      <c r="A212" s="11" t="str">
        <f>IF(OR($E212="",$G212="",$H212="",$Q212="",$R212=""),"",PREFIJO&amp;TEXT(SUMPRODUCT(($E$2:$E212&lt;&gt;"")*($G$2:$G212&lt;&gt;"")*($H$2:$H212&lt;&gt;"")*($Q$2:$Q212&lt;&gt;"")*($R$2:$R212&lt;&gt;"")),"0000"))</f>
        <v/>
      </c>
      <c r="B212" s="11" t="str">
        <f t="shared" si="12"/>
        <v/>
      </c>
      <c r="C212" s="14"/>
      <c r="D212" s="14"/>
      <c r="E212" s="14"/>
      <c r="F212" s="14"/>
      <c r="G212" s="14"/>
      <c r="H212" s="14"/>
      <c r="I212" s="11" t="str">
        <f t="shared" si="13"/>
        <v/>
      </c>
      <c r="J212" s="14"/>
      <c r="K212" s="15"/>
      <c r="L212" s="14"/>
      <c r="M212" s="15"/>
      <c r="N212" s="14"/>
      <c r="O212" s="15"/>
      <c r="P212" s="14"/>
      <c r="Q212" s="14"/>
      <c r="R212" s="14"/>
    </row>
    <row r="213" spans="1:18" x14ac:dyDescent="0.25">
      <c r="A213" s="11" t="str">
        <f>IF(OR($E213="",$G213="",$H213="",$Q213="",$R213=""),"",PREFIJO&amp;TEXT(SUMPRODUCT(($E$2:$E213&lt;&gt;"")*($G$2:$G213&lt;&gt;"")*($H$2:$H213&lt;&gt;"")*($Q$2:$Q213&lt;&gt;"")*($R$2:$R213&lt;&gt;"")),"0000"))</f>
        <v/>
      </c>
      <c r="B213" s="11" t="str">
        <f t="shared" si="12"/>
        <v/>
      </c>
      <c r="C213" s="14"/>
      <c r="D213" s="14"/>
      <c r="E213" s="14"/>
      <c r="F213" s="14"/>
      <c r="G213" s="14"/>
      <c r="H213" s="14"/>
      <c r="I213" s="11" t="str">
        <f t="shared" si="13"/>
        <v/>
      </c>
      <c r="J213" s="14"/>
      <c r="K213" s="15"/>
      <c r="L213" s="14"/>
      <c r="M213" s="15"/>
      <c r="N213" s="14"/>
      <c r="O213" s="15"/>
      <c r="P213" s="14"/>
      <c r="Q213" s="14"/>
      <c r="R213" s="14"/>
    </row>
  </sheetData>
  <autoFilter ref="A1:R1" xr:uid="{00000000-0009-0000-0000-000001000000}"/>
  <dataValidations count="7">
    <dataValidation type="list" allowBlank="1" showErrorMessage="1" errorTitle="Valor no válido" error="Elige un valor de la lista." sqref="C2:C213" xr:uid="{00000000-0002-0000-0100-000000000000}">
      <formula1>INDIRECT("TCAT[NOMBRE]")</formula1>
      <formula2>0</formula2>
    </dataValidation>
    <dataValidation type="list" allowBlank="1" showInputMessage="1" showErrorMessage="1" errorTitle="Valor no válido" error="Elige un valor de la lista." promptTitle="Sub categoría" prompt="Depende de la Categoría. Si no tiene sub categorías, deja en blanco." sqref="D2:D213" xr:uid="{00000000-0002-0000-0100-000001000000}">
      <formula1>INDIRECT(IF($C2="","VACIO","T_"&amp;SUBSTITUTE($C2," ","_")))</formula1>
      <formula2>0</formula2>
    </dataValidation>
    <dataValidation type="list" allowBlank="1" showErrorMessage="1" errorTitle="Valor no válido" error="Elige un valor de la lista." sqref="L2:L213 P2:P213 G2:G213" xr:uid="{00000000-0002-0000-0100-000002000000}">
      <formula1>INDIRECT("TUM[UNIDAD]")</formula1>
      <formula2>0</formula2>
    </dataValidation>
    <dataValidation type="list" allowBlank="1" showErrorMessage="1" errorTitle="Valor no válido" error="Elige un valor de la lista." sqref="H2:H213" xr:uid="{00000000-0002-0000-0100-000005000000}">
      <formula1>INDIRECT("TCTRL[CONTROL]")</formula1>
      <formula2>0</formula2>
    </dataValidation>
    <dataValidation type="list" allowBlank="1" showErrorMessage="1" errorTitle="Valor no válido" error="Elige un valor de la lista." sqref="J2:J213" xr:uid="{00000000-0002-0000-0100-000006000000}">
      <formula1>INDIRECT("TSINO[VALOR]")</formula1>
      <formula2>0</formula2>
    </dataValidation>
    <dataValidation type="list" allowBlank="1" showErrorMessage="1" errorTitle="Valor no válido" error="Elige un valor de la lista." sqref="Q2:Q213" xr:uid="{00000000-0002-0000-0100-000007000000}">
      <formula1>INDIRECT("TIGV[AFECTACION]")</formula1>
      <formula2>0</formula2>
    </dataValidation>
    <dataValidation type="list" allowBlank="1" showErrorMessage="1" errorTitle="Valor no válido" error="Elige un valor de la lista." sqref="R2:R213" xr:uid="{00000000-0002-0000-0100-000008000000}">
      <formula1>INDIRECT("TEST[ESTADO]")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2"/>
  <sheetViews>
    <sheetView showGridLines="0" zoomScaleNormal="100" workbookViewId="0">
      <pane ySplit="2" topLeftCell="A3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8" customWidth="1"/>
    <col min="2" max="2" width="30" customWidth="1"/>
    <col min="3" max="3" width="18" customWidth="1"/>
    <col min="4" max="4" width="22" customWidth="1"/>
  </cols>
  <sheetData>
    <row r="1" spans="1:4" x14ac:dyDescent="0.25">
      <c r="A1" s="23"/>
      <c r="B1" s="23"/>
      <c r="C1" s="23"/>
      <c r="D1" s="23"/>
    </row>
    <row r="2" spans="1:4" ht="25.5" customHeight="1" x14ac:dyDescent="0.25">
      <c r="A2" s="10" t="s">
        <v>201</v>
      </c>
      <c r="B2" s="8" t="s">
        <v>202</v>
      </c>
      <c r="C2" s="10" t="s">
        <v>203</v>
      </c>
      <c r="D2" s="10" t="s">
        <v>204</v>
      </c>
    </row>
    <row r="3" spans="1:4" x14ac:dyDescent="0.25">
      <c r="A3" s="14"/>
      <c r="B3" s="11" t="str">
        <f>IF($A3="","",IFERROR(INDEX(Artículos!$E$2:$E$213,MATCH($A3,Artículos!$A$2:$A$213,0)),""))</f>
        <v/>
      </c>
      <c r="C3" s="14"/>
      <c r="D3" s="14"/>
    </row>
    <row r="4" spans="1:4" x14ac:dyDescent="0.25">
      <c r="A4" s="14"/>
      <c r="B4" s="11" t="str">
        <f>IF($A4="","",IFERROR(INDEX(Artículos!$E$2:$E$213,MATCH($A4,Artículos!$A$2:$A$213,0)),""))</f>
        <v/>
      </c>
      <c r="C4" s="14"/>
      <c r="D4" s="14"/>
    </row>
    <row r="5" spans="1:4" x14ac:dyDescent="0.25">
      <c r="A5" s="14"/>
      <c r="B5" s="11" t="str">
        <f>IF($A5="","",IFERROR(INDEX(Artículos!$E$2:$E$213,MATCH($A5,Artículos!$A$2:$A$213,0)),""))</f>
        <v/>
      </c>
      <c r="C5" s="14"/>
      <c r="D5" s="14"/>
    </row>
    <row r="6" spans="1:4" x14ac:dyDescent="0.25">
      <c r="A6" s="14"/>
      <c r="B6" s="11" t="str">
        <f>IF($A6="","",IFERROR(INDEX(Artículos!$E$2:$E$213,MATCH($A6,Artículos!$A$2:$A$213,0)),""))</f>
        <v/>
      </c>
      <c r="C6" s="14"/>
      <c r="D6" s="14"/>
    </row>
    <row r="7" spans="1:4" x14ac:dyDescent="0.25">
      <c r="A7" s="14"/>
      <c r="B7" s="11" t="str">
        <f>IF($A7="","",IFERROR(INDEX(Artículos!$E$2:$E$213,MATCH($A7,Artículos!$A$2:$A$213,0)),""))</f>
        <v/>
      </c>
      <c r="C7" s="14"/>
      <c r="D7" s="14"/>
    </row>
    <row r="8" spans="1:4" x14ac:dyDescent="0.25">
      <c r="A8" s="14"/>
      <c r="B8" s="11" t="str">
        <f>IF($A8="","",IFERROR(INDEX(Artículos!$E$2:$E$213,MATCH($A8,Artículos!$A$2:$A$213,0)),""))</f>
        <v/>
      </c>
      <c r="C8" s="14"/>
      <c r="D8" s="14"/>
    </row>
    <row r="9" spans="1:4" x14ac:dyDescent="0.25">
      <c r="A9" s="14"/>
      <c r="B9" s="11" t="str">
        <f>IF($A9="","",IFERROR(INDEX(Artículos!$E$2:$E$213,MATCH($A9,Artículos!$A$2:$A$213,0)),""))</f>
        <v/>
      </c>
      <c r="C9" s="14"/>
      <c r="D9" s="14"/>
    </row>
    <row r="10" spans="1:4" x14ac:dyDescent="0.25">
      <c r="A10" s="14"/>
      <c r="B10" s="11" t="str">
        <f>IF($A10="","",IFERROR(INDEX(Artículos!$E$2:$E$213,MATCH($A10,Artículos!$A$2:$A$213,0)),""))</f>
        <v/>
      </c>
      <c r="C10" s="14"/>
      <c r="D10" s="14"/>
    </row>
    <row r="11" spans="1:4" x14ac:dyDescent="0.25">
      <c r="A11" s="14"/>
      <c r="B11" s="11" t="str">
        <f>IF($A11="","",IFERROR(INDEX(Artículos!$E$2:$E$213,MATCH($A11,Artículos!$A$2:$A$213,0)),""))</f>
        <v/>
      </c>
      <c r="C11" s="14"/>
      <c r="D11" s="14"/>
    </row>
    <row r="12" spans="1:4" x14ac:dyDescent="0.25">
      <c r="A12" s="14"/>
      <c r="B12" s="11" t="str">
        <f>IF($A12="","",IFERROR(INDEX(Artículos!$E$2:$E$213,MATCH($A12,Artículos!$A$2:$A$213,0)),""))</f>
        <v/>
      </c>
      <c r="C12" s="14"/>
      <c r="D12" s="14"/>
    </row>
    <row r="13" spans="1:4" x14ac:dyDescent="0.25">
      <c r="A13" s="14"/>
      <c r="B13" s="11" t="str">
        <f>IF($A13="","",IFERROR(INDEX(Artículos!$E$2:$E$213,MATCH($A13,Artículos!$A$2:$A$213,0)),""))</f>
        <v/>
      </c>
      <c r="C13" s="14"/>
      <c r="D13" s="14"/>
    </row>
    <row r="14" spans="1:4" x14ac:dyDescent="0.25">
      <c r="A14" s="14"/>
      <c r="B14" s="11" t="str">
        <f>IF($A14="","",IFERROR(INDEX(Artículos!$E$2:$E$213,MATCH($A14,Artículos!$A$2:$A$213,0)),""))</f>
        <v/>
      </c>
      <c r="C14" s="14"/>
      <c r="D14" s="14"/>
    </row>
    <row r="15" spans="1:4" x14ac:dyDescent="0.25">
      <c r="A15" s="14"/>
      <c r="B15" s="11" t="str">
        <f>IF($A15="","",IFERROR(INDEX(Artículos!$E$2:$E$213,MATCH($A15,Artículos!$A$2:$A$213,0)),""))</f>
        <v/>
      </c>
      <c r="C15" s="14"/>
      <c r="D15" s="14"/>
    </row>
    <row r="16" spans="1:4" x14ac:dyDescent="0.25">
      <c r="A16" s="14"/>
      <c r="B16" s="11" t="str">
        <f>IF($A16="","",IFERROR(INDEX(Artículos!$E$2:$E$213,MATCH($A16,Artículos!$A$2:$A$213,0)),""))</f>
        <v/>
      </c>
      <c r="C16" s="14"/>
      <c r="D16" s="14"/>
    </row>
    <row r="17" spans="1:4" x14ac:dyDescent="0.25">
      <c r="A17" s="14"/>
      <c r="B17" s="11" t="str">
        <f>IF($A17="","",IFERROR(INDEX(Artículos!$E$2:$E$213,MATCH($A17,Artículos!$A$2:$A$213,0)),""))</f>
        <v/>
      </c>
      <c r="C17" s="14"/>
      <c r="D17" s="14"/>
    </row>
    <row r="18" spans="1:4" x14ac:dyDescent="0.25">
      <c r="A18" s="14"/>
      <c r="B18" s="11" t="str">
        <f>IF($A18="","",IFERROR(INDEX(Artículos!$E$2:$E$213,MATCH($A18,Artículos!$A$2:$A$213,0)),""))</f>
        <v/>
      </c>
      <c r="C18" s="14"/>
      <c r="D18" s="14"/>
    </row>
    <row r="19" spans="1:4" x14ac:dyDescent="0.25">
      <c r="A19" s="14"/>
      <c r="B19" s="11" t="str">
        <f>IF($A19="","",IFERROR(INDEX(Artículos!$E$2:$E$213,MATCH($A19,Artículos!$A$2:$A$213,0)),""))</f>
        <v/>
      </c>
      <c r="C19" s="14"/>
      <c r="D19" s="14"/>
    </row>
    <row r="20" spans="1:4" x14ac:dyDescent="0.25">
      <c r="A20" s="14"/>
      <c r="B20" s="11" t="str">
        <f>IF($A20="","",IFERROR(INDEX(Artículos!$E$2:$E$213,MATCH($A20,Artículos!$A$2:$A$213,0)),""))</f>
        <v/>
      </c>
      <c r="C20" s="14"/>
      <c r="D20" s="14"/>
    </row>
    <row r="21" spans="1:4" x14ac:dyDescent="0.25">
      <c r="A21" s="14"/>
      <c r="B21" s="11" t="str">
        <f>IF($A21="","",IFERROR(INDEX(Artículos!$E$2:$E$213,MATCH($A21,Artículos!$A$2:$A$213,0)),""))</f>
        <v/>
      </c>
      <c r="C21" s="14"/>
      <c r="D21" s="14"/>
    </row>
    <row r="22" spans="1:4" x14ac:dyDescent="0.25">
      <c r="A22" s="14"/>
      <c r="B22" s="11" t="str">
        <f>IF($A22="","",IFERROR(INDEX(Artículos!$E$2:$E$213,MATCH($A22,Artículos!$A$2:$A$213,0)),""))</f>
        <v/>
      </c>
      <c r="C22" s="14"/>
      <c r="D22" s="14"/>
    </row>
    <row r="23" spans="1:4" x14ac:dyDescent="0.25">
      <c r="A23" s="14"/>
      <c r="B23" s="11" t="str">
        <f>IF($A23="","",IFERROR(INDEX(Artículos!$E$2:$E$213,MATCH($A23,Artículos!$A$2:$A$213,0)),""))</f>
        <v/>
      </c>
      <c r="C23" s="14"/>
      <c r="D23" s="14"/>
    </row>
    <row r="24" spans="1:4" x14ac:dyDescent="0.25">
      <c r="A24" s="14"/>
      <c r="B24" s="11" t="str">
        <f>IF($A24="","",IFERROR(INDEX(Artículos!$E$2:$E$213,MATCH($A24,Artículos!$A$2:$A$213,0)),""))</f>
        <v/>
      </c>
      <c r="C24" s="14"/>
      <c r="D24" s="14"/>
    </row>
    <row r="25" spans="1:4" x14ac:dyDescent="0.25">
      <c r="A25" s="14"/>
      <c r="B25" s="11" t="str">
        <f>IF($A25="","",IFERROR(INDEX(Artículos!$E$2:$E$213,MATCH($A25,Artículos!$A$2:$A$213,0)),""))</f>
        <v/>
      </c>
      <c r="C25" s="14"/>
      <c r="D25" s="14"/>
    </row>
    <row r="26" spans="1:4" x14ac:dyDescent="0.25">
      <c r="A26" s="14"/>
      <c r="B26" s="11" t="str">
        <f>IF($A26="","",IFERROR(INDEX(Artículos!$E$2:$E$213,MATCH($A26,Artículos!$A$2:$A$213,0)),""))</f>
        <v/>
      </c>
      <c r="C26" s="14"/>
      <c r="D26" s="14"/>
    </row>
    <row r="27" spans="1:4" x14ac:dyDescent="0.25">
      <c r="A27" s="14"/>
      <c r="B27" s="11" t="str">
        <f>IF($A27="","",IFERROR(INDEX(Artículos!$E$2:$E$213,MATCH($A27,Artículos!$A$2:$A$213,0)),""))</f>
        <v/>
      </c>
      <c r="C27" s="14"/>
      <c r="D27" s="14"/>
    </row>
    <row r="28" spans="1:4" x14ac:dyDescent="0.25">
      <c r="A28" s="14"/>
      <c r="B28" s="11" t="str">
        <f>IF($A28="","",IFERROR(INDEX(Artículos!$E$2:$E$213,MATCH($A28,Artículos!$A$2:$A$213,0)),""))</f>
        <v/>
      </c>
      <c r="C28" s="14"/>
      <c r="D28" s="14"/>
    </row>
    <row r="29" spans="1:4" x14ac:dyDescent="0.25">
      <c r="A29" s="14"/>
      <c r="B29" s="11" t="str">
        <f>IF($A29="","",IFERROR(INDEX(Artículos!$E$2:$E$213,MATCH($A29,Artículos!$A$2:$A$213,0)),""))</f>
        <v/>
      </c>
      <c r="C29" s="14"/>
      <c r="D29" s="14"/>
    </row>
    <row r="30" spans="1:4" x14ac:dyDescent="0.25">
      <c r="A30" s="14"/>
      <c r="B30" s="11" t="str">
        <f>IF($A30="","",IFERROR(INDEX(Artículos!$E$2:$E$213,MATCH($A30,Artículos!$A$2:$A$213,0)),""))</f>
        <v/>
      </c>
      <c r="C30" s="14"/>
      <c r="D30" s="14"/>
    </row>
    <row r="31" spans="1:4" x14ac:dyDescent="0.25">
      <c r="A31" s="14"/>
      <c r="B31" s="11" t="str">
        <f>IF($A31="","",IFERROR(INDEX(Artículos!$E$2:$E$213,MATCH($A31,Artículos!$A$2:$A$213,0)),""))</f>
        <v/>
      </c>
      <c r="C31" s="14"/>
      <c r="D31" s="14"/>
    </row>
    <row r="32" spans="1:4" x14ac:dyDescent="0.25">
      <c r="A32" s="14"/>
      <c r="B32" s="11" t="str">
        <f>IF($A32="","",IFERROR(INDEX(Artículos!$E$2:$E$213,MATCH($A32,Artículos!$A$2:$A$213,0)),""))</f>
        <v/>
      </c>
      <c r="C32" s="14"/>
      <c r="D32" s="14"/>
    </row>
    <row r="33" spans="1:4" x14ac:dyDescent="0.25">
      <c r="A33" s="14"/>
      <c r="B33" s="11" t="str">
        <f>IF($A33="","",IFERROR(INDEX(Artículos!$E$2:$E$213,MATCH($A33,Artículos!$A$2:$A$213,0)),""))</f>
        <v/>
      </c>
      <c r="C33" s="14"/>
      <c r="D33" s="14"/>
    </row>
    <row r="34" spans="1:4" x14ac:dyDescent="0.25">
      <c r="A34" s="14"/>
      <c r="B34" s="11" t="str">
        <f>IF($A34="","",IFERROR(INDEX(Artículos!$E$2:$E$213,MATCH($A34,Artículos!$A$2:$A$213,0)),""))</f>
        <v/>
      </c>
      <c r="C34" s="14"/>
      <c r="D34" s="14"/>
    </row>
    <row r="35" spans="1:4" x14ac:dyDescent="0.25">
      <c r="A35" s="14"/>
      <c r="B35" s="11" t="str">
        <f>IF($A35="","",IFERROR(INDEX(Artículos!$E$2:$E$213,MATCH($A35,Artículos!$A$2:$A$213,0)),""))</f>
        <v/>
      </c>
      <c r="C35" s="14"/>
      <c r="D35" s="14"/>
    </row>
    <row r="36" spans="1:4" x14ac:dyDescent="0.25">
      <c r="A36" s="14"/>
      <c r="B36" s="11" t="str">
        <f>IF($A36="","",IFERROR(INDEX(Artículos!$E$2:$E$213,MATCH($A36,Artículos!$A$2:$A$213,0)),""))</f>
        <v/>
      </c>
      <c r="C36" s="14"/>
      <c r="D36" s="14"/>
    </row>
    <row r="37" spans="1:4" x14ac:dyDescent="0.25">
      <c r="A37" s="14"/>
      <c r="B37" s="11" t="str">
        <f>IF($A37="","",IFERROR(INDEX(Artículos!$E$2:$E$213,MATCH($A37,Artículos!$A$2:$A$213,0)),""))</f>
        <v/>
      </c>
      <c r="C37" s="14"/>
      <c r="D37" s="14"/>
    </row>
    <row r="38" spans="1:4" x14ac:dyDescent="0.25">
      <c r="A38" s="14"/>
      <c r="B38" s="11" t="str">
        <f>IF($A38="","",IFERROR(INDEX(Artículos!$E$2:$E$213,MATCH($A38,Artículos!$A$2:$A$213,0)),""))</f>
        <v/>
      </c>
      <c r="C38" s="14"/>
      <c r="D38" s="14"/>
    </row>
    <row r="39" spans="1:4" x14ac:dyDescent="0.25">
      <c r="A39" s="14"/>
      <c r="B39" s="11" t="str">
        <f>IF($A39="","",IFERROR(INDEX(Artículos!$E$2:$E$213,MATCH($A39,Artículos!$A$2:$A$213,0)),""))</f>
        <v/>
      </c>
      <c r="C39" s="14"/>
      <c r="D39" s="14"/>
    </row>
    <row r="40" spans="1:4" x14ac:dyDescent="0.25">
      <c r="A40" s="14"/>
      <c r="B40" s="11" t="str">
        <f>IF($A40="","",IFERROR(INDEX(Artículos!$E$2:$E$213,MATCH($A40,Artículos!$A$2:$A$213,0)),""))</f>
        <v/>
      </c>
      <c r="C40" s="14"/>
      <c r="D40" s="14"/>
    </row>
    <row r="41" spans="1:4" x14ac:dyDescent="0.25">
      <c r="A41" s="14"/>
      <c r="B41" s="11" t="str">
        <f>IF($A41="","",IFERROR(INDEX(Artículos!$E$2:$E$213,MATCH($A41,Artículos!$A$2:$A$213,0)),""))</f>
        <v/>
      </c>
      <c r="C41" s="14"/>
      <c r="D41" s="14"/>
    </row>
    <row r="42" spans="1:4" x14ac:dyDescent="0.25">
      <c r="A42" s="14"/>
      <c r="B42" s="11" t="str">
        <f>IF($A42="","",IFERROR(INDEX(Artículos!$E$2:$E$213,MATCH($A42,Artículos!$A$2:$A$213,0)),""))</f>
        <v/>
      </c>
      <c r="C42" s="14"/>
      <c r="D42" s="14"/>
    </row>
    <row r="43" spans="1:4" x14ac:dyDescent="0.25">
      <c r="A43" s="14"/>
      <c r="B43" s="11" t="str">
        <f>IF($A43="","",IFERROR(INDEX(Artículos!$E$2:$E$213,MATCH($A43,Artículos!$A$2:$A$213,0)),""))</f>
        <v/>
      </c>
      <c r="C43" s="14"/>
      <c r="D43" s="14"/>
    </row>
    <row r="44" spans="1:4" x14ac:dyDescent="0.25">
      <c r="A44" s="14"/>
      <c r="B44" s="11" t="str">
        <f>IF($A44="","",IFERROR(INDEX(Artículos!$E$2:$E$213,MATCH($A44,Artículos!$A$2:$A$213,0)),""))</f>
        <v/>
      </c>
      <c r="C44" s="14"/>
      <c r="D44" s="14"/>
    </row>
    <row r="45" spans="1:4" x14ac:dyDescent="0.25">
      <c r="A45" s="14"/>
      <c r="B45" s="11" t="str">
        <f>IF($A45="","",IFERROR(INDEX(Artículos!$E$2:$E$213,MATCH($A45,Artículos!$A$2:$A$213,0)),""))</f>
        <v/>
      </c>
      <c r="C45" s="14"/>
      <c r="D45" s="14"/>
    </row>
    <row r="46" spans="1:4" x14ac:dyDescent="0.25">
      <c r="A46" s="14"/>
      <c r="B46" s="11" t="str">
        <f>IF($A46="","",IFERROR(INDEX(Artículos!$E$2:$E$213,MATCH($A46,Artículos!$A$2:$A$213,0)),""))</f>
        <v/>
      </c>
      <c r="C46" s="14"/>
      <c r="D46" s="14"/>
    </row>
    <row r="47" spans="1:4" x14ac:dyDescent="0.25">
      <c r="A47" s="14"/>
      <c r="B47" s="11" t="str">
        <f>IF($A47="","",IFERROR(INDEX(Artículos!$E$2:$E$213,MATCH($A47,Artículos!$A$2:$A$213,0)),""))</f>
        <v/>
      </c>
      <c r="C47" s="14"/>
      <c r="D47" s="14"/>
    </row>
    <row r="48" spans="1:4" x14ac:dyDescent="0.25">
      <c r="A48" s="14"/>
      <c r="B48" s="11" t="str">
        <f>IF($A48="","",IFERROR(INDEX(Artículos!$E$2:$E$213,MATCH($A48,Artículos!$A$2:$A$213,0)),""))</f>
        <v/>
      </c>
      <c r="C48" s="14"/>
      <c r="D48" s="14"/>
    </row>
    <row r="49" spans="1:4" x14ac:dyDescent="0.25">
      <c r="A49" s="14"/>
      <c r="B49" s="11" t="str">
        <f>IF($A49="","",IFERROR(INDEX(Artículos!$E$2:$E$213,MATCH($A49,Artículos!$A$2:$A$213,0)),""))</f>
        <v/>
      </c>
      <c r="C49" s="14"/>
      <c r="D49" s="14"/>
    </row>
    <row r="50" spans="1:4" x14ac:dyDescent="0.25">
      <c r="A50" s="14"/>
      <c r="B50" s="11" t="str">
        <f>IF($A50="","",IFERROR(INDEX(Artículos!$E$2:$E$213,MATCH($A50,Artículos!$A$2:$A$213,0)),""))</f>
        <v/>
      </c>
      <c r="C50" s="14"/>
      <c r="D50" s="14"/>
    </row>
    <row r="51" spans="1:4" x14ac:dyDescent="0.25">
      <c r="A51" s="14"/>
      <c r="B51" s="11" t="str">
        <f>IF($A51="","",IFERROR(INDEX(Artículos!$E$2:$E$213,MATCH($A51,Artículos!$A$2:$A$213,0)),""))</f>
        <v/>
      </c>
      <c r="C51" s="14"/>
      <c r="D51" s="14"/>
    </row>
    <row r="52" spans="1:4" x14ac:dyDescent="0.25">
      <c r="A52" s="14"/>
      <c r="B52" s="11" t="str">
        <f>IF($A52="","",IFERROR(INDEX(Artículos!$E$2:$E$213,MATCH($A52,Artículos!$A$2:$A$213,0)),""))</f>
        <v/>
      </c>
      <c r="C52" s="14"/>
      <c r="D52" s="14"/>
    </row>
    <row r="53" spans="1:4" x14ac:dyDescent="0.25">
      <c r="A53" s="14"/>
      <c r="B53" s="11" t="str">
        <f>IF($A53="","",IFERROR(INDEX(Artículos!$E$2:$E$213,MATCH($A53,Artículos!$A$2:$A$213,0)),""))</f>
        <v/>
      </c>
      <c r="C53" s="14"/>
      <c r="D53" s="14"/>
    </row>
    <row r="54" spans="1:4" x14ac:dyDescent="0.25">
      <c r="A54" s="14"/>
      <c r="B54" s="11" t="str">
        <f>IF($A54="","",IFERROR(INDEX(Artículos!$E$2:$E$213,MATCH($A54,Artículos!$A$2:$A$213,0)),""))</f>
        <v/>
      </c>
      <c r="C54" s="14"/>
      <c r="D54" s="14"/>
    </row>
    <row r="55" spans="1:4" x14ac:dyDescent="0.25">
      <c r="A55" s="14"/>
      <c r="B55" s="11" t="str">
        <f>IF($A55="","",IFERROR(INDEX(Artículos!$E$2:$E$213,MATCH($A55,Artículos!$A$2:$A$213,0)),""))</f>
        <v/>
      </c>
      <c r="C55" s="14"/>
      <c r="D55" s="14"/>
    </row>
    <row r="56" spans="1:4" x14ac:dyDescent="0.25">
      <c r="A56" s="14"/>
      <c r="B56" s="11" t="str">
        <f>IF($A56="","",IFERROR(INDEX(Artículos!$E$2:$E$213,MATCH($A56,Artículos!$A$2:$A$213,0)),""))</f>
        <v/>
      </c>
      <c r="C56" s="14"/>
      <c r="D56" s="14"/>
    </row>
    <row r="57" spans="1:4" x14ac:dyDescent="0.25">
      <c r="A57" s="14"/>
      <c r="B57" s="11" t="str">
        <f>IF($A57="","",IFERROR(INDEX(Artículos!$E$2:$E$213,MATCH($A57,Artículos!$A$2:$A$213,0)),""))</f>
        <v/>
      </c>
      <c r="C57" s="14"/>
      <c r="D57" s="14"/>
    </row>
    <row r="58" spans="1:4" x14ac:dyDescent="0.25">
      <c r="A58" s="14"/>
      <c r="B58" s="11" t="str">
        <f>IF($A58="","",IFERROR(INDEX(Artículos!$E$2:$E$213,MATCH($A58,Artículos!$A$2:$A$213,0)),""))</f>
        <v/>
      </c>
      <c r="C58" s="14"/>
      <c r="D58" s="14"/>
    </row>
    <row r="59" spans="1:4" x14ac:dyDescent="0.25">
      <c r="A59" s="14"/>
      <c r="B59" s="11" t="str">
        <f>IF($A59="","",IFERROR(INDEX(Artículos!$E$2:$E$213,MATCH($A59,Artículos!$A$2:$A$213,0)),""))</f>
        <v/>
      </c>
      <c r="C59" s="14"/>
      <c r="D59" s="14"/>
    </row>
    <row r="60" spans="1:4" x14ac:dyDescent="0.25">
      <c r="A60" s="14"/>
      <c r="B60" s="11" t="str">
        <f>IF($A60="","",IFERROR(INDEX(Artículos!$E$2:$E$213,MATCH($A60,Artículos!$A$2:$A$213,0)),""))</f>
        <v/>
      </c>
      <c r="C60" s="14"/>
      <c r="D60" s="14"/>
    </row>
    <row r="61" spans="1:4" x14ac:dyDescent="0.25">
      <c r="A61" s="14"/>
      <c r="B61" s="11" t="str">
        <f>IF($A61="","",IFERROR(INDEX(Artículos!$E$2:$E$213,MATCH($A61,Artículos!$A$2:$A$213,0)),""))</f>
        <v/>
      </c>
      <c r="C61" s="14"/>
      <c r="D61" s="14"/>
    </row>
    <row r="62" spans="1:4" x14ac:dyDescent="0.25">
      <c r="A62" s="14"/>
      <c r="B62" s="11" t="str">
        <f>IF($A62="","",IFERROR(INDEX(Artículos!$E$2:$E$213,MATCH($A62,Artículos!$A$2:$A$213,0)),""))</f>
        <v/>
      </c>
      <c r="C62" s="14"/>
      <c r="D62" s="14"/>
    </row>
    <row r="63" spans="1:4" x14ac:dyDescent="0.25">
      <c r="A63" s="14"/>
      <c r="B63" s="11" t="str">
        <f>IF($A63="","",IFERROR(INDEX(Artículos!$E$2:$E$213,MATCH($A63,Artículos!$A$2:$A$213,0)),""))</f>
        <v/>
      </c>
      <c r="C63" s="14"/>
      <c r="D63" s="14"/>
    </row>
    <row r="64" spans="1:4" x14ac:dyDescent="0.25">
      <c r="A64" s="14"/>
      <c r="B64" s="11" t="str">
        <f>IF($A64="","",IFERROR(INDEX(Artículos!$E$2:$E$213,MATCH($A64,Artículos!$A$2:$A$213,0)),""))</f>
        <v/>
      </c>
      <c r="C64" s="14"/>
      <c r="D64" s="14"/>
    </row>
    <row r="65" spans="1:4" x14ac:dyDescent="0.25">
      <c r="A65" s="14"/>
      <c r="B65" s="11" t="str">
        <f>IF($A65="","",IFERROR(INDEX(Artículos!$E$2:$E$213,MATCH($A65,Artículos!$A$2:$A$213,0)),""))</f>
        <v/>
      </c>
      <c r="C65" s="14"/>
      <c r="D65" s="14"/>
    </row>
    <row r="66" spans="1:4" x14ac:dyDescent="0.25">
      <c r="A66" s="14"/>
      <c r="B66" s="11" t="str">
        <f>IF($A66="","",IFERROR(INDEX(Artículos!$E$2:$E$213,MATCH($A66,Artículos!$A$2:$A$213,0)),""))</f>
        <v/>
      </c>
      <c r="C66" s="14"/>
      <c r="D66" s="14"/>
    </row>
    <row r="67" spans="1:4" x14ac:dyDescent="0.25">
      <c r="A67" s="14"/>
      <c r="B67" s="11" t="str">
        <f>IF($A67="","",IFERROR(INDEX(Artículos!$E$2:$E$213,MATCH($A67,Artículos!$A$2:$A$213,0)),""))</f>
        <v/>
      </c>
      <c r="C67" s="14"/>
      <c r="D67" s="14"/>
    </row>
    <row r="68" spans="1:4" x14ac:dyDescent="0.25">
      <c r="A68" s="14"/>
      <c r="B68" s="11" t="str">
        <f>IF($A68="","",IFERROR(INDEX(Artículos!$E$2:$E$213,MATCH($A68,Artículos!$A$2:$A$213,0)),""))</f>
        <v/>
      </c>
      <c r="C68" s="14"/>
      <c r="D68" s="14"/>
    </row>
    <row r="69" spans="1:4" x14ac:dyDescent="0.25">
      <c r="A69" s="14"/>
      <c r="B69" s="11" t="str">
        <f>IF($A69="","",IFERROR(INDEX(Artículos!$E$2:$E$213,MATCH($A69,Artículos!$A$2:$A$213,0)),""))</f>
        <v/>
      </c>
      <c r="C69" s="14"/>
      <c r="D69" s="14"/>
    </row>
    <row r="70" spans="1:4" x14ac:dyDescent="0.25">
      <c r="A70" s="14"/>
      <c r="B70" s="11" t="str">
        <f>IF($A70="","",IFERROR(INDEX(Artículos!$E$2:$E$213,MATCH($A70,Artículos!$A$2:$A$213,0)),""))</f>
        <v/>
      </c>
      <c r="C70" s="14"/>
      <c r="D70" s="14"/>
    </row>
    <row r="71" spans="1:4" x14ac:dyDescent="0.25">
      <c r="A71" s="14"/>
      <c r="B71" s="11" t="str">
        <f>IF($A71="","",IFERROR(INDEX(Artículos!$E$2:$E$213,MATCH($A71,Artículos!$A$2:$A$213,0)),""))</f>
        <v/>
      </c>
      <c r="C71" s="14"/>
      <c r="D71" s="14"/>
    </row>
    <row r="72" spans="1:4" x14ac:dyDescent="0.25">
      <c r="A72" s="14"/>
      <c r="B72" s="11" t="str">
        <f>IF($A72="","",IFERROR(INDEX(Artículos!$E$2:$E$213,MATCH($A72,Artículos!$A$2:$A$213,0)),""))</f>
        <v/>
      </c>
      <c r="C72" s="14"/>
      <c r="D72" s="14"/>
    </row>
    <row r="73" spans="1:4" x14ac:dyDescent="0.25">
      <c r="A73" s="14"/>
      <c r="B73" s="11" t="str">
        <f>IF($A73="","",IFERROR(INDEX(Artículos!$E$2:$E$213,MATCH($A73,Artículos!$A$2:$A$213,0)),""))</f>
        <v/>
      </c>
      <c r="C73" s="14"/>
      <c r="D73" s="14"/>
    </row>
    <row r="74" spans="1:4" x14ac:dyDescent="0.25">
      <c r="A74" s="14"/>
      <c r="B74" s="11" t="str">
        <f>IF($A74="","",IFERROR(INDEX(Artículos!$E$2:$E$213,MATCH($A74,Artículos!$A$2:$A$213,0)),""))</f>
        <v/>
      </c>
      <c r="C74" s="14"/>
      <c r="D74" s="14"/>
    </row>
    <row r="75" spans="1:4" x14ac:dyDescent="0.25">
      <c r="A75" s="14"/>
      <c r="B75" s="11" t="str">
        <f>IF($A75="","",IFERROR(INDEX(Artículos!$E$2:$E$213,MATCH($A75,Artículos!$A$2:$A$213,0)),""))</f>
        <v/>
      </c>
      <c r="C75" s="14"/>
      <c r="D75" s="14"/>
    </row>
    <row r="76" spans="1:4" x14ac:dyDescent="0.25">
      <c r="A76" s="14"/>
      <c r="B76" s="11" t="str">
        <f>IF($A76="","",IFERROR(INDEX(Artículos!$E$2:$E$213,MATCH($A76,Artículos!$A$2:$A$213,0)),""))</f>
        <v/>
      </c>
      <c r="C76" s="14"/>
      <c r="D76" s="14"/>
    </row>
    <row r="77" spans="1:4" x14ac:dyDescent="0.25">
      <c r="A77" s="14"/>
      <c r="B77" s="11" t="str">
        <f>IF($A77="","",IFERROR(INDEX(Artículos!$E$2:$E$213,MATCH($A77,Artículos!$A$2:$A$213,0)),""))</f>
        <v/>
      </c>
      <c r="C77" s="14"/>
      <c r="D77" s="14"/>
    </row>
    <row r="78" spans="1:4" x14ac:dyDescent="0.25">
      <c r="A78" s="14"/>
      <c r="B78" s="11" t="str">
        <f>IF($A78="","",IFERROR(INDEX(Artículos!$E$2:$E$213,MATCH($A78,Artículos!$A$2:$A$213,0)),""))</f>
        <v/>
      </c>
      <c r="C78" s="14"/>
      <c r="D78" s="14"/>
    </row>
    <row r="79" spans="1:4" x14ac:dyDescent="0.25">
      <c r="A79" s="14"/>
      <c r="B79" s="11" t="str">
        <f>IF($A79="","",IFERROR(INDEX(Artículos!$E$2:$E$213,MATCH($A79,Artículos!$A$2:$A$213,0)),""))</f>
        <v/>
      </c>
      <c r="C79" s="14"/>
      <c r="D79" s="14"/>
    </row>
    <row r="80" spans="1:4" x14ac:dyDescent="0.25">
      <c r="A80" s="14"/>
      <c r="B80" s="11" t="str">
        <f>IF($A80="","",IFERROR(INDEX(Artículos!$E$2:$E$213,MATCH($A80,Artículos!$A$2:$A$213,0)),""))</f>
        <v/>
      </c>
      <c r="C80" s="14"/>
      <c r="D80" s="14"/>
    </row>
    <row r="81" spans="1:4" x14ac:dyDescent="0.25">
      <c r="A81" s="14"/>
      <c r="B81" s="11" t="str">
        <f>IF($A81="","",IFERROR(INDEX(Artículos!$E$2:$E$213,MATCH($A81,Artículos!$A$2:$A$213,0)),""))</f>
        <v/>
      </c>
      <c r="C81" s="14"/>
      <c r="D81" s="14"/>
    </row>
    <row r="82" spans="1:4" x14ac:dyDescent="0.25">
      <c r="A82" s="14"/>
      <c r="B82" s="11" t="str">
        <f>IF($A82="","",IFERROR(INDEX(Artículos!$E$2:$E$213,MATCH($A82,Artículos!$A$2:$A$213,0)),""))</f>
        <v/>
      </c>
      <c r="C82" s="14"/>
      <c r="D82" s="14"/>
    </row>
    <row r="83" spans="1:4" x14ac:dyDescent="0.25">
      <c r="A83" s="14"/>
      <c r="B83" s="11" t="str">
        <f>IF($A83="","",IFERROR(INDEX(Artículos!$E$2:$E$213,MATCH($A83,Artículos!$A$2:$A$213,0)),""))</f>
        <v/>
      </c>
      <c r="C83" s="14"/>
      <c r="D83" s="14"/>
    </row>
    <row r="84" spans="1:4" x14ac:dyDescent="0.25">
      <c r="A84" s="14"/>
      <c r="B84" s="11" t="str">
        <f>IF($A84="","",IFERROR(INDEX(Artículos!$E$2:$E$213,MATCH($A84,Artículos!$A$2:$A$213,0)),""))</f>
        <v/>
      </c>
      <c r="C84" s="14"/>
      <c r="D84" s="14"/>
    </row>
    <row r="85" spans="1:4" x14ac:dyDescent="0.25">
      <c r="A85" s="14"/>
      <c r="B85" s="11" t="str">
        <f>IF($A85="","",IFERROR(INDEX(Artículos!$E$2:$E$213,MATCH($A85,Artículos!$A$2:$A$213,0)),""))</f>
        <v/>
      </c>
      <c r="C85" s="14"/>
      <c r="D85" s="14"/>
    </row>
    <row r="86" spans="1:4" x14ac:dyDescent="0.25">
      <c r="A86" s="14"/>
      <c r="B86" s="11" t="str">
        <f>IF($A86="","",IFERROR(INDEX(Artículos!$E$2:$E$213,MATCH($A86,Artículos!$A$2:$A$213,0)),""))</f>
        <v/>
      </c>
      <c r="C86" s="14"/>
      <c r="D86" s="14"/>
    </row>
    <row r="87" spans="1:4" x14ac:dyDescent="0.25">
      <c r="A87" s="14"/>
      <c r="B87" s="11" t="str">
        <f>IF($A87="","",IFERROR(INDEX(Artículos!$E$2:$E$213,MATCH($A87,Artículos!$A$2:$A$213,0)),""))</f>
        <v/>
      </c>
      <c r="C87" s="14"/>
      <c r="D87" s="14"/>
    </row>
    <row r="88" spans="1:4" x14ac:dyDescent="0.25">
      <c r="A88" s="14"/>
      <c r="B88" s="11" t="str">
        <f>IF($A88="","",IFERROR(INDEX(Artículos!$E$2:$E$213,MATCH($A88,Artículos!$A$2:$A$213,0)),""))</f>
        <v/>
      </c>
      <c r="C88" s="14"/>
      <c r="D88" s="14"/>
    </row>
    <row r="89" spans="1:4" x14ac:dyDescent="0.25">
      <c r="A89" s="14"/>
      <c r="B89" s="11" t="str">
        <f>IF($A89="","",IFERROR(INDEX(Artículos!$E$2:$E$213,MATCH($A89,Artículos!$A$2:$A$213,0)),""))</f>
        <v/>
      </c>
      <c r="C89" s="14"/>
      <c r="D89" s="14"/>
    </row>
    <row r="90" spans="1:4" x14ac:dyDescent="0.25">
      <c r="A90" s="14"/>
      <c r="B90" s="11" t="str">
        <f>IF($A90="","",IFERROR(INDEX(Artículos!$E$2:$E$213,MATCH($A90,Artículos!$A$2:$A$213,0)),""))</f>
        <v/>
      </c>
      <c r="C90" s="14"/>
      <c r="D90" s="14"/>
    </row>
    <row r="91" spans="1:4" x14ac:dyDescent="0.25">
      <c r="A91" s="14"/>
      <c r="B91" s="11" t="str">
        <f>IF($A91="","",IFERROR(INDEX(Artículos!$E$2:$E$213,MATCH($A91,Artículos!$A$2:$A$213,0)),""))</f>
        <v/>
      </c>
      <c r="C91" s="14"/>
      <c r="D91" s="14"/>
    </row>
    <row r="92" spans="1:4" x14ac:dyDescent="0.25">
      <c r="A92" s="14"/>
      <c r="B92" s="11" t="str">
        <f>IF($A92="","",IFERROR(INDEX(Artículos!$E$2:$E$213,MATCH($A92,Artículos!$A$2:$A$213,0)),""))</f>
        <v/>
      </c>
      <c r="C92" s="14"/>
      <c r="D92" s="14"/>
    </row>
    <row r="93" spans="1:4" x14ac:dyDescent="0.25">
      <c r="A93" s="14"/>
      <c r="B93" s="11" t="str">
        <f>IF($A93="","",IFERROR(INDEX(Artículos!$E$2:$E$213,MATCH($A93,Artículos!$A$2:$A$213,0)),""))</f>
        <v/>
      </c>
      <c r="C93" s="14"/>
      <c r="D93" s="14"/>
    </row>
    <row r="94" spans="1:4" x14ac:dyDescent="0.25">
      <c r="A94" s="14"/>
      <c r="B94" s="11" t="str">
        <f>IF($A94="","",IFERROR(INDEX(Artículos!$E$2:$E$213,MATCH($A94,Artículos!$A$2:$A$213,0)),""))</f>
        <v/>
      </c>
      <c r="C94" s="14"/>
      <c r="D94" s="14"/>
    </row>
    <row r="95" spans="1:4" x14ac:dyDescent="0.25">
      <c r="A95" s="14"/>
      <c r="B95" s="11" t="str">
        <f>IF($A95="","",IFERROR(INDEX(Artículos!$E$2:$E$213,MATCH($A95,Artículos!$A$2:$A$213,0)),""))</f>
        <v/>
      </c>
      <c r="C95" s="14"/>
      <c r="D95" s="14"/>
    </row>
    <row r="96" spans="1:4" x14ac:dyDescent="0.25">
      <c r="A96" s="14"/>
      <c r="B96" s="11" t="str">
        <f>IF($A96="","",IFERROR(INDEX(Artículos!$E$2:$E$213,MATCH($A96,Artículos!$A$2:$A$213,0)),""))</f>
        <v/>
      </c>
      <c r="C96" s="14"/>
      <c r="D96" s="14"/>
    </row>
    <row r="97" spans="1:4" x14ac:dyDescent="0.25">
      <c r="A97" s="14"/>
      <c r="B97" s="11" t="str">
        <f>IF($A97="","",IFERROR(INDEX(Artículos!$E$2:$E$213,MATCH($A97,Artículos!$A$2:$A$213,0)),""))</f>
        <v/>
      </c>
      <c r="C97" s="14"/>
      <c r="D97" s="14"/>
    </row>
    <row r="98" spans="1:4" x14ac:dyDescent="0.25">
      <c r="A98" s="14"/>
      <c r="B98" s="11" t="str">
        <f>IF($A98="","",IFERROR(INDEX(Artículos!$E$2:$E$213,MATCH($A98,Artículos!$A$2:$A$213,0)),""))</f>
        <v/>
      </c>
      <c r="C98" s="14"/>
      <c r="D98" s="14"/>
    </row>
    <row r="99" spans="1:4" x14ac:dyDescent="0.25">
      <c r="A99" s="14"/>
      <c r="B99" s="11" t="str">
        <f>IF($A99="","",IFERROR(INDEX(Artículos!$E$2:$E$213,MATCH($A99,Artículos!$A$2:$A$213,0)),""))</f>
        <v/>
      </c>
      <c r="C99" s="14"/>
      <c r="D99" s="14"/>
    </row>
    <row r="100" spans="1:4" x14ac:dyDescent="0.25">
      <c r="A100" s="14"/>
      <c r="B100" s="11" t="str">
        <f>IF($A100="","",IFERROR(INDEX(Artículos!$E$2:$E$213,MATCH($A100,Artículos!$A$2:$A$213,0)),""))</f>
        <v/>
      </c>
      <c r="C100" s="14"/>
      <c r="D100" s="14"/>
    </row>
    <row r="101" spans="1:4" x14ac:dyDescent="0.25">
      <c r="A101" s="14"/>
      <c r="B101" s="11" t="str">
        <f>IF($A101="","",IFERROR(INDEX(Artículos!$E$2:$E$213,MATCH($A101,Artículos!$A$2:$A$213,0)),""))</f>
        <v/>
      </c>
      <c r="C101" s="14"/>
      <c r="D101" s="14"/>
    </row>
    <row r="102" spans="1:4" x14ac:dyDescent="0.25">
      <c r="A102" s="14"/>
      <c r="B102" s="11" t="str">
        <f>IF($A102="","",IFERROR(INDEX(Artículos!$E$2:$E$213,MATCH($A102,Artículos!$A$2:$A$213,0)),""))</f>
        <v/>
      </c>
      <c r="C102" s="14"/>
      <c r="D102" s="14"/>
    </row>
    <row r="103" spans="1:4" x14ac:dyDescent="0.25">
      <c r="A103" s="14"/>
      <c r="B103" s="11" t="str">
        <f>IF($A103="","",IFERROR(INDEX(Artículos!$E$2:$E$213,MATCH($A103,Artículos!$A$2:$A$213,0)),""))</f>
        <v/>
      </c>
      <c r="C103" s="14"/>
      <c r="D103" s="14"/>
    </row>
    <row r="104" spans="1:4" x14ac:dyDescent="0.25">
      <c r="A104" s="14"/>
      <c r="B104" s="11" t="str">
        <f>IF($A104="","",IFERROR(INDEX(Artículos!$E$2:$E$213,MATCH($A104,Artículos!$A$2:$A$213,0)),""))</f>
        <v/>
      </c>
      <c r="C104" s="14"/>
      <c r="D104" s="14"/>
    </row>
    <row r="105" spans="1:4" x14ac:dyDescent="0.25">
      <c r="A105" s="14"/>
      <c r="B105" s="11" t="str">
        <f>IF($A105="","",IFERROR(INDEX(Artículos!$E$2:$E$213,MATCH($A105,Artículos!$A$2:$A$213,0)),""))</f>
        <v/>
      </c>
      <c r="C105" s="14"/>
      <c r="D105" s="14"/>
    </row>
    <row r="106" spans="1:4" x14ac:dyDescent="0.25">
      <c r="A106" s="14"/>
      <c r="B106" s="11" t="str">
        <f>IF($A106="","",IFERROR(INDEX(Artículos!$E$2:$E$213,MATCH($A106,Artículos!$A$2:$A$213,0)),""))</f>
        <v/>
      </c>
      <c r="C106" s="14"/>
      <c r="D106" s="14"/>
    </row>
    <row r="107" spans="1:4" x14ac:dyDescent="0.25">
      <c r="A107" s="14"/>
      <c r="B107" s="11" t="str">
        <f>IF($A107="","",IFERROR(INDEX(Artículos!$E$2:$E$213,MATCH($A107,Artículos!$A$2:$A$213,0)),""))</f>
        <v/>
      </c>
      <c r="C107" s="14"/>
      <c r="D107" s="14"/>
    </row>
    <row r="108" spans="1:4" x14ac:dyDescent="0.25">
      <c r="A108" s="14"/>
      <c r="B108" s="11" t="str">
        <f>IF($A108="","",IFERROR(INDEX(Artículos!$E$2:$E$213,MATCH($A108,Artículos!$A$2:$A$213,0)),""))</f>
        <v/>
      </c>
      <c r="C108" s="14"/>
      <c r="D108" s="14"/>
    </row>
    <row r="109" spans="1:4" x14ac:dyDescent="0.25">
      <c r="A109" s="14"/>
      <c r="B109" s="11" t="str">
        <f>IF($A109="","",IFERROR(INDEX(Artículos!$E$2:$E$213,MATCH($A109,Artículos!$A$2:$A$213,0)),""))</f>
        <v/>
      </c>
      <c r="C109" s="14"/>
      <c r="D109" s="14"/>
    </row>
    <row r="110" spans="1:4" x14ac:dyDescent="0.25">
      <c r="A110" s="14"/>
      <c r="B110" s="11" t="str">
        <f>IF($A110="","",IFERROR(INDEX(Artículos!$E$2:$E$213,MATCH($A110,Artículos!$A$2:$A$213,0)),""))</f>
        <v/>
      </c>
      <c r="C110" s="14"/>
      <c r="D110" s="14"/>
    </row>
    <row r="111" spans="1:4" x14ac:dyDescent="0.25">
      <c r="A111" s="14"/>
      <c r="B111" s="11" t="str">
        <f>IF($A111="","",IFERROR(INDEX(Artículos!$E$2:$E$213,MATCH($A111,Artículos!$A$2:$A$213,0)),""))</f>
        <v/>
      </c>
      <c r="C111" s="14"/>
      <c r="D111" s="14"/>
    </row>
    <row r="112" spans="1:4" x14ac:dyDescent="0.25">
      <c r="A112" s="14"/>
      <c r="B112" s="11" t="str">
        <f>IF($A112="","",IFERROR(INDEX(Artículos!$E$2:$E$213,MATCH($A112,Artículos!$A$2:$A$213,0)),""))</f>
        <v/>
      </c>
      <c r="C112" s="14"/>
      <c r="D112" s="14"/>
    </row>
    <row r="113" spans="1:4" x14ac:dyDescent="0.25">
      <c r="A113" s="14"/>
      <c r="B113" s="11" t="str">
        <f>IF($A113="","",IFERROR(INDEX(Artículos!$E$2:$E$213,MATCH($A113,Artículos!$A$2:$A$213,0)),""))</f>
        <v/>
      </c>
      <c r="C113" s="14"/>
      <c r="D113" s="14"/>
    </row>
    <row r="114" spans="1:4" x14ac:dyDescent="0.25">
      <c r="A114" s="14"/>
      <c r="B114" s="11" t="str">
        <f>IF($A114="","",IFERROR(INDEX(Artículos!$E$2:$E$213,MATCH($A114,Artículos!$A$2:$A$213,0)),""))</f>
        <v/>
      </c>
      <c r="C114" s="14"/>
      <c r="D114" s="14"/>
    </row>
    <row r="115" spans="1:4" x14ac:dyDescent="0.25">
      <c r="A115" s="14"/>
      <c r="B115" s="11" t="str">
        <f>IF($A115="","",IFERROR(INDEX(Artículos!$E$2:$E$213,MATCH($A115,Artículos!$A$2:$A$213,0)),""))</f>
        <v/>
      </c>
      <c r="C115" s="14"/>
      <c r="D115" s="14"/>
    </row>
    <row r="116" spans="1:4" x14ac:dyDescent="0.25">
      <c r="A116" s="14"/>
      <c r="B116" s="11" t="str">
        <f>IF($A116="","",IFERROR(INDEX(Artículos!$E$2:$E$213,MATCH($A116,Artículos!$A$2:$A$213,0)),""))</f>
        <v/>
      </c>
      <c r="C116" s="14"/>
      <c r="D116" s="14"/>
    </row>
    <row r="117" spans="1:4" x14ac:dyDescent="0.25">
      <c r="A117" s="14"/>
      <c r="B117" s="11" t="str">
        <f>IF($A117="","",IFERROR(INDEX(Artículos!$E$2:$E$213,MATCH($A117,Artículos!$A$2:$A$213,0)),""))</f>
        <v/>
      </c>
      <c r="C117" s="14"/>
      <c r="D117" s="14"/>
    </row>
    <row r="118" spans="1:4" x14ac:dyDescent="0.25">
      <c r="A118" s="14"/>
      <c r="B118" s="11" t="str">
        <f>IF($A118="","",IFERROR(INDEX(Artículos!$E$2:$E$213,MATCH($A118,Artículos!$A$2:$A$213,0)),""))</f>
        <v/>
      </c>
      <c r="C118" s="14"/>
      <c r="D118" s="14"/>
    </row>
    <row r="119" spans="1:4" x14ac:dyDescent="0.25">
      <c r="A119" s="14"/>
      <c r="B119" s="11" t="str">
        <f>IF($A119="","",IFERROR(INDEX(Artículos!$E$2:$E$213,MATCH($A119,Artículos!$A$2:$A$213,0)),""))</f>
        <v/>
      </c>
      <c r="C119" s="14"/>
      <c r="D119" s="14"/>
    </row>
    <row r="120" spans="1:4" x14ac:dyDescent="0.25">
      <c r="A120" s="14"/>
      <c r="B120" s="11" t="str">
        <f>IF($A120="","",IFERROR(INDEX(Artículos!$E$2:$E$213,MATCH($A120,Artículos!$A$2:$A$213,0)),""))</f>
        <v/>
      </c>
      <c r="C120" s="14"/>
      <c r="D120" s="14"/>
    </row>
    <row r="121" spans="1:4" x14ac:dyDescent="0.25">
      <c r="A121" s="14"/>
      <c r="B121" s="11" t="str">
        <f>IF($A121="","",IFERROR(INDEX(Artículos!$E$2:$E$213,MATCH($A121,Artículos!$A$2:$A$213,0)),""))</f>
        <v/>
      </c>
      <c r="C121" s="14"/>
      <c r="D121" s="14"/>
    </row>
    <row r="122" spans="1:4" x14ac:dyDescent="0.25">
      <c r="A122" s="14"/>
      <c r="B122" s="11" t="str">
        <f>IF($A122="","",IFERROR(INDEX(Artículos!$E$2:$E$213,MATCH($A122,Artículos!$A$2:$A$213,0)),""))</f>
        <v/>
      </c>
      <c r="C122" s="14"/>
      <c r="D122" s="14"/>
    </row>
  </sheetData>
  <mergeCells count="1">
    <mergeCell ref="A1:D1"/>
  </mergeCells>
  <dataValidations count="2">
    <dataValidation type="list" allowBlank="1" showErrorMessage="1" errorTitle="Código no válido" error="Solo códigos ya generados en la hoja Artículos." sqref="A3:A122" xr:uid="{00000000-0002-0000-0300-000000000000}">
      <formula1>LST_CODIGOS</formula1>
      <formula2>0</formula2>
    </dataValidation>
    <dataValidation type="list" allowBlank="1" showErrorMessage="1" errorTitle="Código no válido" error="Solo códigos ya generados en la hoja Artículos." sqref="C3:C122" xr:uid="{00000000-0002-0000-0300-000001000000}">
      <formula1>INDIRECT("TATR[ATRIBUTO]")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2"/>
  <sheetViews>
    <sheetView showGridLines="0" zoomScaleNormal="100" workbookViewId="0">
      <pane ySplit="2" topLeftCell="A3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8" customWidth="1"/>
    <col min="2" max="2" width="30" customWidth="1"/>
    <col min="3" max="3" width="17" customWidth="1"/>
    <col min="4" max="4" width="26" customWidth="1"/>
    <col min="5" max="5" width="18" customWidth="1"/>
    <col min="6" max="6" width="14" customWidth="1"/>
    <col min="7" max="7" width="12" customWidth="1"/>
  </cols>
  <sheetData>
    <row r="1" spans="1:7" x14ac:dyDescent="0.25">
      <c r="A1" s="23"/>
      <c r="B1" s="23"/>
      <c r="C1" s="23"/>
      <c r="D1" s="23"/>
      <c r="E1" s="23"/>
      <c r="F1" s="23"/>
      <c r="G1" s="23"/>
    </row>
    <row r="2" spans="1:7" ht="25.5" customHeight="1" x14ac:dyDescent="0.25">
      <c r="A2" s="10" t="s">
        <v>201</v>
      </c>
      <c r="B2" s="8" t="s">
        <v>202</v>
      </c>
      <c r="C2" s="10" t="s">
        <v>205</v>
      </c>
      <c r="D2" s="8" t="s">
        <v>206</v>
      </c>
      <c r="E2" s="8" t="s">
        <v>207</v>
      </c>
      <c r="F2" s="10" t="s">
        <v>208</v>
      </c>
      <c r="G2" s="8" t="s">
        <v>209</v>
      </c>
    </row>
    <row r="3" spans="1:7" x14ac:dyDescent="0.25">
      <c r="A3" s="14"/>
      <c r="B3" s="11" t="str">
        <f>IF($A3="","",IFERROR(INDEX(Artículos!$E$2:$E$213,MATCH($A3,Artículos!$A$2:$A$213,0)),""))</f>
        <v/>
      </c>
      <c r="C3" s="14"/>
      <c r="D3" s="11" t="str">
        <f t="shared" ref="D3:D34" si="0">IF($C3="","",IFERROR(INDEX(ALM_NOM,MATCH($C3,ALM_COD,0)),""))</f>
        <v/>
      </c>
      <c r="E3" s="11" t="str">
        <f t="shared" ref="E3:E34" si="1">IF($C3="","",IFERROR(INDEX(ALM_SEDE,MATCH($C3,ALM_COD,0)),""))</f>
        <v/>
      </c>
      <c r="F3" s="14"/>
      <c r="G3" s="11" t="str">
        <f>IF($A3="","",IFERROR(INDEX(Artículos!$G$2:$G$213,MATCH($A3,Artículos!$A$2:$A$213,0)),""))</f>
        <v/>
      </c>
    </row>
    <row r="4" spans="1:7" x14ac:dyDescent="0.25">
      <c r="A4" s="14"/>
      <c r="B4" s="11" t="str">
        <f>IF($A4="","",IFERROR(INDEX(Artículos!$E$2:$E$213,MATCH($A4,Artículos!$A$2:$A$213,0)),""))</f>
        <v/>
      </c>
      <c r="C4" s="14"/>
      <c r="D4" s="11" t="str">
        <f t="shared" si="0"/>
        <v/>
      </c>
      <c r="E4" s="11" t="str">
        <f t="shared" si="1"/>
        <v/>
      </c>
      <c r="F4" s="14"/>
      <c r="G4" s="11" t="str">
        <f>IF($A4="","",IFERROR(INDEX(Artículos!$G$2:$G$213,MATCH($A4,Artículos!$A$2:$A$213,0)),""))</f>
        <v/>
      </c>
    </row>
    <row r="5" spans="1:7" x14ac:dyDescent="0.25">
      <c r="A5" s="14"/>
      <c r="B5" s="11" t="str">
        <f>IF($A5="","",IFERROR(INDEX(Artículos!$E$2:$E$213,MATCH($A5,Artículos!$A$2:$A$213,0)),""))</f>
        <v/>
      </c>
      <c r="C5" s="14"/>
      <c r="D5" s="11" t="str">
        <f t="shared" si="0"/>
        <v/>
      </c>
      <c r="E5" s="11" t="str">
        <f t="shared" si="1"/>
        <v/>
      </c>
      <c r="F5" s="14"/>
      <c r="G5" s="11" t="str">
        <f>IF($A5="","",IFERROR(INDEX(Artículos!$G$2:$G$213,MATCH($A5,Artículos!$A$2:$A$213,0)),""))</f>
        <v/>
      </c>
    </row>
    <row r="6" spans="1:7" x14ac:dyDescent="0.25">
      <c r="A6" s="14"/>
      <c r="B6" s="11" t="str">
        <f>IF($A6="","",IFERROR(INDEX(Artículos!$E$2:$E$213,MATCH($A6,Artículos!$A$2:$A$213,0)),""))</f>
        <v/>
      </c>
      <c r="C6" s="14"/>
      <c r="D6" s="11" t="str">
        <f t="shared" si="0"/>
        <v/>
      </c>
      <c r="E6" s="11" t="str">
        <f t="shared" si="1"/>
        <v/>
      </c>
      <c r="F6" s="14"/>
      <c r="G6" s="11" t="str">
        <f>IF($A6="","",IFERROR(INDEX(Artículos!$G$2:$G$213,MATCH($A6,Artículos!$A$2:$A$213,0)),""))</f>
        <v/>
      </c>
    </row>
    <row r="7" spans="1:7" x14ac:dyDescent="0.25">
      <c r="A7" s="14"/>
      <c r="B7" s="11" t="str">
        <f>IF($A7="","",IFERROR(INDEX(Artículos!$E$2:$E$213,MATCH($A7,Artículos!$A$2:$A$213,0)),""))</f>
        <v/>
      </c>
      <c r="C7" s="14"/>
      <c r="D7" s="11" t="str">
        <f t="shared" si="0"/>
        <v/>
      </c>
      <c r="E7" s="11" t="str">
        <f t="shared" si="1"/>
        <v/>
      </c>
      <c r="F7" s="14"/>
      <c r="G7" s="11" t="str">
        <f>IF($A7="","",IFERROR(INDEX(Artículos!$G$2:$G$213,MATCH($A7,Artículos!$A$2:$A$213,0)),""))</f>
        <v/>
      </c>
    </row>
    <row r="8" spans="1:7" x14ac:dyDescent="0.25">
      <c r="A8" s="14"/>
      <c r="B8" s="11" t="str">
        <f>IF($A8="","",IFERROR(INDEX(Artículos!$E$2:$E$213,MATCH($A8,Artículos!$A$2:$A$213,0)),""))</f>
        <v/>
      </c>
      <c r="C8" s="14"/>
      <c r="D8" s="11" t="str">
        <f t="shared" si="0"/>
        <v/>
      </c>
      <c r="E8" s="11" t="str">
        <f t="shared" si="1"/>
        <v/>
      </c>
      <c r="F8" s="14"/>
      <c r="G8" s="11" t="str">
        <f>IF($A8="","",IFERROR(INDEX(Artículos!$G$2:$G$213,MATCH($A8,Artículos!$A$2:$A$213,0)),""))</f>
        <v/>
      </c>
    </row>
    <row r="9" spans="1:7" x14ac:dyDescent="0.25">
      <c r="A9" s="14"/>
      <c r="B9" s="11" t="str">
        <f>IF($A9="","",IFERROR(INDEX(Artículos!$E$2:$E$213,MATCH($A9,Artículos!$A$2:$A$213,0)),""))</f>
        <v/>
      </c>
      <c r="C9" s="14"/>
      <c r="D9" s="11" t="str">
        <f t="shared" si="0"/>
        <v/>
      </c>
      <c r="E9" s="11" t="str">
        <f t="shared" si="1"/>
        <v/>
      </c>
      <c r="F9" s="14"/>
      <c r="G9" s="11" t="str">
        <f>IF($A9="","",IFERROR(INDEX(Artículos!$G$2:$G$213,MATCH($A9,Artículos!$A$2:$A$213,0)),""))</f>
        <v/>
      </c>
    </row>
    <row r="10" spans="1:7" x14ac:dyDescent="0.25">
      <c r="A10" s="14"/>
      <c r="B10" s="11" t="str">
        <f>IF($A10="","",IFERROR(INDEX(Artículos!$E$2:$E$213,MATCH($A10,Artículos!$A$2:$A$213,0)),""))</f>
        <v/>
      </c>
      <c r="C10" s="14"/>
      <c r="D10" s="11" t="str">
        <f t="shared" si="0"/>
        <v/>
      </c>
      <c r="E10" s="11" t="str">
        <f t="shared" si="1"/>
        <v/>
      </c>
      <c r="F10" s="14"/>
      <c r="G10" s="11" t="str">
        <f>IF($A10="","",IFERROR(INDEX(Artículos!$G$2:$G$213,MATCH($A10,Artículos!$A$2:$A$213,0)),""))</f>
        <v/>
      </c>
    </row>
    <row r="11" spans="1:7" x14ac:dyDescent="0.25">
      <c r="A11" s="14"/>
      <c r="B11" s="11" t="str">
        <f>IF($A11="","",IFERROR(INDEX(Artículos!$E$2:$E$213,MATCH($A11,Artículos!$A$2:$A$213,0)),""))</f>
        <v/>
      </c>
      <c r="C11" s="14"/>
      <c r="D11" s="11" t="str">
        <f t="shared" si="0"/>
        <v/>
      </c>
      <c r="E11" s="11" t="str">
        <f t="shared" si="1"/>
        <v/>
      </c>
      <c r="F11" s="14"/>
      <c r="G11" s="11" t="str">
        <f>IF($A11="","",IFERROR(INDEX(Artículos!$G$2:$G$213,MATCH($A11,Artículos!$A$2:$A$213,0)),""))</f>
        <v/>
      </c>
    </row>
    <row r="12" spans="1:7" x14ac:dyDescent="0.25">
      <c r="A12" s="14"/>
      <c r="B12" s="11" t="str">
        <f>IF($A12="","",IFERROR(INDEX(Artículos!$E$2:$E$213,MATCH($A12,Artículos!$A$2:$A$213,0)),""))</f>
        <v/>
      </c>
      <c r="C12" s="14"/>
      <c r="D12" s="11" t="str">
        <f t="shared" si="0"/>
        <v/>
      </c>
      <c r="E12" s="11" t="str">
        <f t="shared" si="1"/>
        <v/>
      </c>
      <c r="F12" s="14"/>
      <c r="G12" s="11" t="str">
        <f>IF($A12="","",IFERROR(INDEX(Artículos!$G$2:$G$213,MATCH($A12,Artículos!$A$2:$A$213,0)),""))</f>
        <v/>
      </c>
    </row>
    <row r="13" spans="1:7" x14ac:dyDescent="0.25">
      <c r="A13" s="14"/>
      <c r="B13" s="11" t="str">
        <f>IF($A13="","",IFERROR(INDEX(Artículos!$E$2:$E$213,MATCH($A13,Artículos!$A$2:$A$213,0)),""))</f>
        <v/>
      </c>
      <c r="C13" s="14"/>
      <c r="D13" s="11" t="str">
        <f t="shared" si="0"/>
        <v/>
      </c>
      <c r="E13" s="11" t="str">
        <f t="shared" si="1"/>
        <v/>
      </c>
      <c r="F13" s="14"/>
      <c r="G13" s="11" t="str">
        <f>IF($A13="","",IFERROR(INDEX(Artículos!$G$2:$G$213,MATCH($A13,Artículos!$A$2:$A$213,0)),""))</f>
        <v/>
      </c>
    </row>
    <row r="14" spans="1:7" x14ac:dyDescent="0.25">
      <c r="A14" s="14"/>
      <c r="B14" s="11" t="str">
        <f>IF($A14="","",IFERROR(INDEX(Artículos!$E$2:$E$213,MATCH($A14,Artículos!$A$2:$A$213,0)),""))</f>
        <v/>
      </c>
      <c r="C14" s="14"/>
      <c r="D14" s="11" t="str">
        <f t="shared" si="0"/>
        <v/>
      </c>
      <c r="E14" s="11" t="str">
        <f t="shared" si="1"/>
        <v/>
      </c>
      <c r="F14" s="14"/>
      <c r="G14" s="11" t="str">
        <f>IF($A14="","",IFERROR(INDEX(Artículos!$G$2:$G$213,MATCH($A14,Artículos!$A$2:$A$213,0)),""))</f>
        <v/>
      </c>
    </row>
    <row r="15" spans="1:7" x14ac:dyDescent="0.25">
      <c r="A15" s="14"/>
      <c r="B15" s="11" t="str">
        <f>IF($A15="","",IFERROR(INDEX(Artículos!$E$2:$E$213,MATCH($A15,Artículos!$A$2:$A$213,0)),""))</f>
        <v/>
      </c>
      <c r="C15" s="14"/>
      <c r="D15" s="11" t="str">
        <f t="shared" si="0"/>
        <v/>
      </c>
      <c r="E15" s="11" t="str">
        <f t="shared" si="1"/>
        <v/>
      </c>
      <c r="F15" s="14"/>
      <c r="G15" s="11" t="str">
        <f>IF($A15="","",IFERROR(INDEX(Artículos!$G$2:$G$213,MATCH($A15,Artículos!$A$2:$A$213,0)),""))</f>
        <v/>
      </c>
    </row>
    <row r="16" spans="1:7" x14ac:dyDescent="0.25">
      <c r="A16" s="14"/>
      <c r="B16" s="11" t="str">
        <f>IF($A16="","",IFERROR(INDEX(Artículos!$E$2:$E$213,MATCH($A16,Artículos!$A$2:$A$213,0)),""))</f>
        <v/>
      </c>
      <c r="C16" s="14"/>
      <c r="D16" s="11" t="str">
        <f t="shared" si="0"/>
        <v/>
      </c>
      <c r="E16" s="11" t="str">
        <f t="shared" si="1"/>
        <v/>
      </c>
      <c r="F16" s="14"/>
      <c r="G16" s="11" t="str">
        <f>IF($A16="","",IFERROR(INDEX(Artículos!$G$2:$G$213,MATCH($A16,Artículos!$A$2:$A$213,0)),""))</f>
        <v/>
      </c>
    </row>
    <row r="17" spans="1:7" x14ac:dyDescent="0.25">
      <c r="A17" s="14"/>
      <c r="B17" s="11" t="str">
        <f>IF($A17="","",IFERROR(INDEX(Artículos!$E$2:$E$213,MATCH($A17,Artículos!$A$2:$A$213,0)),""))</f>
        <v/>
      </c>
      <c r="C17" s="14"/>
      <c r="D17" s="11" t="str">
        <f t="shared" si="0"/>
        <v/>
      </c>
      <c r="E17" s="11" t="str">
        <f t="shared" si="1"/>
        <v/>
      </c>
      <c r="F17" s="14"/>
      <c r="G17" s="11" t="str">
        <f>IF($A17="","",IFERROR(INDEX(Artículos!$G$2:$G$213,MATCH($A17,Artículos!$A$2:$A$213,0)),""))</f>
        <v/>
      </c>
    </row>
    <row r="18" spans="1:7" x14ac:dyDescent="0.25">
      <c r="A18" s="14"/>
      <c r="B18" s="11" t="str">
        <f>IF($A18="","",IFERROR(INDEX(Artículos!$E$2:$E$213,MATCH($A18,Artículos!$A$2:$A$213,0)),""))</f>
        <v/>
      </c>
      <c r="C18" s="14"/>
      <c r="D18" s="11" t="str">
        <f t="shared" si="0"/>
        <v/>
      </c>
      <c r="E18" s="11" t="str">
        <f t="shared" si="1"/>
        <v/>
      </c>
      <c r="F18" s="14"/>
      <c r="G18" s="11" t="str">
        <f>IF($A18="","",IFERROR(INDEX(Artículos!$G$2:$G$213,MATCH($A18,Artículos!$A$2:$A$213,0)),""))</f>
        <v/>
      </c>
    </row>
    <row r="19" spans="1:7" x14ac:dyDescent="0.25">
      <c r="A19" s="14"/>
      <c r="B19" s="11" t="str">
        <f>IF($A19="","",IFERROR(INDEX(Artículos!$E$2:$E$213,MATCH($A19,Artículos!$A$2:$A$213,0)),""))</f>
        <v/>
      </c>
      <c r="C19" s="14"/>
      <c r="D19" s="11" t="str">
        <f t="shared" si="0"/>
        <v/>
      </c>
      <c r="E19" s="11" t="str">
        <f t="shared" si="1"/>
        <v/>
      </c>
      <c r="F19" s="14"/>
      <c r="G19" s="11" t="str">
        <f>IF($A19="","",IFERROR(INDEX(Artículos!$G$2:$G$213,MATCH($A19,Artículos!$A$2:$A$213,0)),""))</f>
        <v/>
      </c>
    </row>
    <row r="20" spans="1:7" x14ac:dyDescent="0.25">
      <c r="A20" s="14"/>
      <c r="B20" s="11" t="str">
        <f>IF($A20="","",IFERROR(INDEX(Artículos!$E$2:$E$213,MATCH($A20,Artículos!$A$2:$A$213,0)),""))</f>
        <v/>
      </c>
      <c r="C20" s="14"/>
      <c r="D20" s="11" t="str">
        <f t="shared" si="0"/>
        <v/>
      </c>
      <c r="E20" s="11" t="str">
        <f t="shared" si="1"/>
        <v/>
      </c>
      <c r="F20" s="14"/>
      <c r="G20" s="11" t="str">
        <f>IF($A20="","",IFERROR(INDEX(Artículos!$G$2:$G$213,MATCH($A20,Artículos!$A$2:$A$213,0)),""))</f>
        <v/>
      </c>
    </row>
    <row r="21" spans="1:7" x14ac:dyDescent="0.25">
      <c r="A21" s="14"/>
      <c r="B21" s="11" t="str">
        <f>IF($A21="","",IFERROR(INDEX(Artículos!$E$2:$E$213,MATCH($A21,Artículos!$A$2:$A$213,0)),""))</f>
        <v/>
      </c>
      <c r="C21" s="14"/>
      <c r="D21" s="11" t="str">
        <f t="shared" si="0"/>
        <v/>
      </c>
      <c r="E21" s="11" t="str">
        <f t="shared" si="1"/>
        <v/>
      </c>
      <c r="F21" s="14"/>
      <c r="G21" s="11" t="str">
        <f>IF($A21="","",IFERROR(INDEX(Artículos!$G$2:$G$213,MATCH($A21,Artículos!$A$2:$A$213,0)),""))</f>
        <v/>
      </c>
    </row>
    <row r="22" spans="1:7" x14ac:dyDescent="0.25">
      <c r="A22" s="14"/>
      <c r="B22" s="11" t="str">
        <f>IF($A22="","",IFERROR(INDEX(Artículos!$E$2:$E$213,MATCH($A22,Artículos!$A$2:$A$213,0)),""))</f>
        <v/>
      </c>
      <c r="C22" s="14"/>
      <c r="D22" s="11" t="str">
        <f t="shared" si="0"/>
        <v/>
      </c>
      <c r="E22" s="11" t="str">
        <f t="shared" si="1"/>
        <v/>
      </c>
      <c r="F22" s="14"/>
      <c r="G22" s="11" t="str">
        <f>IF($A22="","",IFERROR(INDEX(Artículos!$G$2:$G$213,MATCH($A22,Artículos!$A$2:$A$213,0)),""))</f>
        <v/>
      </c>
    </row>
    <row r="23" spans="1:7" x14ac:dyDescent="0.25">
      <c r="A23" s="14"/>
      <c r="B23" s="11" t="str">
        <f>IF($A23="","",IFERROR(INDEX(Artículos!$E$2:$E$213,MATCH($A23,Artículos!$A$2:$A$213,0)),""))</f>
        <v/>
      </c>
      <c r="C23" s="14"/>
      <c r="D23" s="11" t="str">
        <f t="shared" si="0"/>
        <v/>
      </c>
      <c r="E23" s="11" t="str">
        <f t="shared" si="1"/>
        <v/>
      </c>
      <c r="F23" s="14"/>
      <c r="G23" s="11" t="str">
        <f>IF($A23="","",IFERROR(INDEX(Artículos!$G$2:$G$213,MATCH($A23,Artículos!$A$2:$A$213,0)),""))</f>
        <v/>
      </c>
    </row>
    <row r="24" spans="1:7" x14ac:dyDescent="0.25">
      <c r="A24" s="14"/>
      <c r="B24" s="11" t="str">
        <f>IF($A24="","",IFERROR(INDEX(Artículos!$E$2:$E$213,MATCH($A24,Artículos!$A$2:$A$213,0)),""))</f>
        <v/>
      </c>
      <c r="C24" s="14"/>
      <c r="D24" s="11" t="str">
        <f t="shared" si="0"/>
        <v/>
      </c>
      <c r="E24" s="11" t="str">
        <f t="shared" si="1"/>
        <v/>
      </c>
      <c r="F24" s="14"/>
      <c r="G24" s="11" t="str">
        <f>IF($A24="","",IFERROR(INDEX(Artículos!$G$2:$G$213,MATCH($A24,Artículos!$A$2:$A$213,0)),""))</f>
        <v/>
      </c>
    </row>
    <row r="25" spans="1:7" x14ac:dyDescent="0.25">
      <c r="A25" s="14"/>
      <c r="B25" s="11" t="str">
        <f>IF($A25="","",IFERROR(INDEX(Artículos!$E$2:$E$213,MATCH($A25,Artículos!$A$2:$A$213,0)),""))</f>
        <v/>
      </c>
      <c r="C25" s="14"/>
      <c r="D25" s="11" t="str">
        <f t="shared" si="0"/>
        <v/>
      </c>
      <c r="E25" s="11" t="str">
        <f t="shared" si="1"/>
        <v/>
      </c>
      <c r="F25" s="14"/>
      <c r="G25" s="11" t="str">
        <f>IF($A25="","",IFERROR(INDEX(Artículos!$G$2:$G$213,MATCH($A25,Artículos!$A$2:$A$213,0)),""))</f>
        <v/>
      </c>
    </row>
    <row r="26" spans="1:7" x14ac:dyDescent="0.25">
      <c r="A26" s="14"/>
      <c r="B26" s="11" t="str">
        <f>IF($A26="","",IFERROR(INDEX(Artículos!$E$2:$E$213,MATCH($A26,Artículos!$A$2:$A$213,0)),""))</f>
        <v/>
      </c>
      <c r="C26" s="14"/>
      <c r="D26" s="11" t="str">
        <f t="shared" si="0"/>
        <v/>
      </c>
      <c r="E26" s="11" t="str">
        <f t="shared" si="1"/>
        <v/>
      </c>
      <c r="F26" s="14"/>
      <c r="G26" s="11" t="str">
        <f>IF($A26="","",IFERROR(INDEX(Artículos!$G$2:$G$213,MATCH($A26,Artículos!$A$2:$A$213,0)),""))</f>
        <v/>
      </c>
    </row>
    <row r="27" spans="1:7" x14ac:dyDescent="0.25">
      <c r="A27" s="14"/>
      <c r="B27" s="11" t="str">
        <f>IF($A27="","",IFERROR(INDEX(Artículos!$E$2:$E$213,MATCH($A27,Artículos!$A$2:$A$213,0)),""))</f>
        <v/>
      </c>
      <c r="C27" s="14"/>
      <c r="D27" s="11" t="str">
        <f t="shared" si="0"/>
        <v/>
      </c>
      <c r="E27" s="11" t="str">
        <f t="shared" si="1"/>
        <v/>
      </c>
      <c r="F27" s="14"/>
      <c r="G27" s="11" t="str">
        <f>IF($A27="","",IFERROR(INDEX(Artículos!$G$2:$G$213,MATCH($A27,Artículos!$A$2:$A$213,0)),""))</f>
        <v/>
      </c>
    </row>
    <row r="28" spans="1:7" x14ac:dyDescent="0.25">
      <c r="A28" s="14"/>
      <c r="B28" s="11" t="str">
        <f>IF($A28="","",IFERROR(INDEX(Artículos!$E$2:$E$213,MATCH($A28,Artículos!$A$2:$A$213,0)),""))</f>
        <v/>
      </c>
      <c r="C28" s="14"/>
      <c r="D28" s="11" t="str">
        <f t="shared" si="0"/>
        <v/>
      </c>
      <c r="E28" s="11" t="str">
        <f t="shared" si="1"/>
        <v/>
      </c>
      <c r="F28" s="14"/>
      <c r="G28" s="11" t="str">
        <f>IF($A28="","",IFERROR(INDEX(Artículos!$G$2:$G$213,MATCH($A28,Artículos!$A$2:$A$213,0)),""))</f>
        <v/>
      </c>
    </row>
    <row r="29" spans="1:7" x14ac:dyDescent="0.25">
      <c r="A29" s="14"/>
      <c r="B29" s="11" t="str">
        <f>IF($A29="","",IFERROR(INDEX(Artículos!$E$2:$E$213,MATCH($A29,Artículos!$A$2:$A$213,0)),""))</f>
        <v/>
      </c>
      <c r="C29" s="14"/>
      <c r="D29" s="11" t="str">
        <f t="shared" si="0"/>
        <v/>
      </c>
      <c r="E29" s="11" t="str">
        <f t="shared" si="1"/>
        <v/>
      </c>
      <c r="F29" s="14"/>
      <c r="G29" s="11" t="str">
        <f>IF($A29="","",IFERROR(INDEX(Artículos!$G$2:$G$213,MATCH($A29,Artículos!$A$2:$A$213,0)),""))</f>
        <v/>
      </c>
    </row>
    <row r="30" spans="1:7" x14ac:dyDescent="0.25">
      <c r="A30" s="14"/>
      <c r="B30" s="11" t="str">
        <f>IF($A30="","",IFERROR(INDEX(Artículos!$E$2:$E$213,MATCH($A30,Artículos!$A$2:$A$213,0)),""))</f>
        <v/>
      </c>
      <c r="C30" s="14"/>
      <c r="D30" s="11" t="str">
        <f t="shared" si="0"/>
        <v/>
      </c>
      <c r="E30" s="11" t="str">
        <f t="shared" si="1"/>
        <v/>
      </c>
      <c r="F30" s="14"/>
      <c r="G30" s="11" t="str">
        <f>IF($A30="","",IFERROR(INDEX(Artículos!$G$2:$G$213,MATCH($A30,Artículos!$A$2:$A$213,0)),""))</f>
        <v/>
      </c>
    </row>
    <row r="31" spans="1:7" x14ac:dyDescent="0.25">
      <c r="A31" s="14"/>
      <c r="B31" s="11" t="str">
        <f>IF($A31="","",IFERROR(INDEX(Artículos!$E$2:$E$213,MATCH($A31,Artículos!$A$2:$A$213,0)),""))</f>
        <v/>
      </c>
      <c r="C31" s="14"/>
      <c r="D31" s="11" t="str">
        <f t="shared" si="0"/>
        <v/>
      </c>
      <c r="E31" s="11" t="str">
        <f t="shared" si="1"/>
        <v/>
      </c>
      <c r="F31" s="14"/>
      <c r="G31" s="11" t="str">
        <f>IF($A31="","",IFERROR(INDEX(Artículos!$G$2:$G$213,MATCH($A31,Artículos!$A$2:$A$213,0)),""))</f>
        <v/>
      </c>
    </row>
    <row r="32" spans="1:7" x14ac:dyDescent="0.25">
      <c r="A32" s="14"/>
      <c r="B32" s="11" t="str">
        <f>IF($A32="","",IFERROR(INDEX(Artículos!$E$2:$E$213,MATCH($A32,Artículos!$A$2:$A$213,0)),""))</f>
        <v/>
      </c>
      <c r="C32" s="14"/>
      <c r="D32" s="11" t="str">
        <f t="shared" si="0"/>
        <v/>
      </c>
      <c r="E32" s="11" t="str">
        <f t="shared" si="1"/>
        <v/>
      </c>
      <c r="F32" s="14"/>
      <c r="G32" s="11" t="str">
        <f>IF($A32="","",IFERROR(INDEX(Artículos!$G$2:$G$213,MATCH($A32,Artículos!$A$2:$A$213,0)),""))</f>
        <v/>
      </c>
    </row>
    <row r="33" spans="1:7" x14ac:dyDescent="0.25">
      <c r="A33" s="14"/>
      <c r="B33" s="11" t="str">
        <f>IF($A33="","",IFERROR(INDEX(Artículos!$E$2:$E$213,MATCH($A33,Artículos!$A$2:$A$213,0)),""))</f>
        <v/>
      </c>
      <c r="C33" s="14"/>
      <c r="D33" s="11" t="str">
        <f t="shared" si="0"/>
        <v/>
      </c>
      <c r="E33" s="11" t="str">
        <f t="shared" si="1"/>
        <v/>
      </c>
      <c r="F33" s="14"/>
      <c r="G33" s="11" t="str">
        <f>IF($A33="","",IFERROR(INDEX(Artículos!$G$2:$G$213,MATCH($A33,Artículos!$A$2:$A$213,0)),""))</f>
        <v/>
      </c>
    </row>
    <row r="34" spans="1:7" x14ac:dyDescent="0.25">
      <c r="A34" s="14"/>
      <c r="B34" s="11" t="str">
        <f>IF($A34="","",IFERROR(INDEX(Artículos!$E$2:$E$213,MATCH($A34,Artículos!$A$2:$A$213,0)),""))</f>
        <v/>
      </c>
      <c r="C34" s="14"/>
      <c r="D34" s="11" t="str">
        <f t="shared" si="0"/>
        <v/>
      </c>
      <c r="E34" s="11" t="str">
        <f t="shared" si="1"/>
        <v/>
      </c>
      <c r="F34" s="14"/>
      <c r="G34" s="11" t="str">
        <f>IF($A34="","",IFERROR(INDEX(Artículos!$G$2:$G$213,MATCH($A34,Artículos!$A$2:$A$213,0)),""))</f>
        <v/>
      </c>
    </row>
    <row r="35" spans="1:7" x14ac:dyDescent="0.25">
      <c r="A35" s="14"/>
      <c r="B35" s="11" t="str">
        <f>IF($A35="","",IFERROR(INDEX(Artículos!$E$2:$E$213,MATCH($A35,Artículos!$A$2:$A$213,0)),""))</f>
        <v/>
      </c>
      <c r="C35" s="14"/>
      <c r="D35" s="11" t="str">
        <f t="shared" ref="D35:D66" si="2">IF($C35="","",IFERROR(INDEX(ALM_NOM,MATCH($C35,ALM_COD,0)),""))</f>
        <v/>
      </c>
      <c r="E35" s="11" t="str">
        <f t="shared" ref="E35:E66" si="3">IF($C35="","",IFERROR(INDEX(ALM_SEDE,MATCH($C35,ALM_COD,0)),""))</f>
        <v/>
      </c>
      <c r="F35" s="14"/>
      <c r="G35" s="11" t="str">
        <f>IF($A35="","",IFERROR(INDEX(Artículos!$G$2:$G$213,MATCH($A35,Artículos!$A$2:$A$213,0)),""))</f>
        <v/>
      </c>
    </row>
    <row r="36" spans="1:7" x14ac:dyDescent="0.25">
      <c r="A36" s="14"/>
      <c r="B36" s="11" t="str">
        <f>IF($A36="","",IFERROR(INDEX(Artículos!$E$2:$E$213,MATCH($A36,Artículos!$A$2:$A$213,0)),""))</f>
        <v/>
      </c>
      <c r="C36" s="14"/>
      <c r="D36" s="11" t="str">
        <f t="shared" si="2"/>
        <v/>
      </c>
      <c r="E36" s="11" t="str">
        <f t="shared" si="3"/>
        <v/>
      </c>
      <c r="F36" s="14"/>
      <c r="G36" s="11" t="str">
        <f>IF($A36="","",IFERROR(INDEX(Artículos!$G$2:$G$213,MATCH($A36,Artículos!$A$2:$A$213,0)),""))</f>
        <v/>
      </c>
    </row>
    <row r="37" spans="1:7" x14ac:dyDescent="0.25">
      <c r="A37" s="14"/>
      <c r="B37" s="11" t="str">
        <f>IF($A37="","",IFERROR(INDEX(Artículos!$E$2:$E$213,MATCH($A37,Artículos!$A$2:$A$213,0)),""))</f>
        <v/>
      </c>
      <c r="C37" s="14"/>
      <c r="D37" s="11" t="str">
        <f t="shared" si="2"/>
        <v/>
      </c>
      <c r="E37" s="11" t="str">
        <f t="shared" si="3"/>
        <v/>
      </c>
      <c r="F37" s="14"/>
      <c r="G37" s="11" t="str">
        <f>IF($A37="","",IFERROR(INDEX(Artículos!$G$2:$G$213,MATCH($A37,Artículos!$A$2:$A$213,0)),""))</f>
        <v/>
      </c>
    </row>
    <row r="38" spans="1:7" x14ac:dyDescent="0.25">
      <c r="A38" s="14"/>
      <c r="B38" s="11" t="str">
        <f>IF($A38="","",IFERROR(INDEX(Artículos!$E$2:$E$213,MATCH($A38,Artículos!$A$2:$A$213,0)),""))</f>
        <v/>
      </c>
      <c r="C38" s="14"/>
      <c r="D38" s="11" t="str">
        <f t="shared" si="2"/>
        <v/>
      </c>
      <c r="E38" s="11" t="str">
        <f t="shared" si="3"/>
        <v/>
      </c>
      <c r="F38" s="14"/>
      <c r="G38" s="11" t="str">
        <f>IF($A38="","",IFERROR(INDEX(Artículos!$G$2:$G$213,MATCH($A38,Artículos!$A$2:$A$213,0)),""))</f>
        <v/>
      </c>
    </row>
    <row r="39" spans="1:7" x14ac:dyDescent="0.25">
      <c r="A39" s="14"/>
      <c r="B39" s="11" t="str">
        <f>IF($A39="","",IFERROR(INDEX(Artículos!$E$2:$E$213,MATCH($A39,Artículos!$A$2:$A$213,0)),""))</f>
        <v/>
      </c>
      <c r="C39" s="14"/>
      <c r="D39" s="11" t="str">
        <f t="shared" si="2"/>
        <v/>
      </c>
      <c r="E39" s="11" t="str">
        <f t="shared" si="3"/>
        <v/>
      </c>
      <c r="F39" s="14"/>
      <c r="G39" s="11" t="str">
        <f>IF($A39="","",IFERROR(INDEX(Artículos!$G$2:$G$213,MATCH($A39,Artículos!$A$2:$A$213,0)),""))</f>
        <v/>
      </c>
    </row>
    <row r="40" spans="1:7" x14ac:dyDescent="0.25">
      <c r="A40" s="14"/>
      <c r="B40" s="11" t="str">
        <f>IF($A40="","",IFERROR(INDEX(Artículos!$E$2:$E$213,MATCH($A40,Artículos!$A$2:$A$213,0)),""))</f>
        <v/>
      </c>
      <c r="C40" s="14"/>
      <c r="D40" s="11" t="str">
        <f t="shared" si="2"/>
        <v/>
      </c>
      <c r="E40" s="11" t="str">
        <f t="shared" si="3"/>
        <v/>
      </c>
      <c r="F40" s="14"/>
      <c r="G40" s="11" t="str">
        <f>IF($A40="","",IFERROR(INDEX(Artículos!$G$2:$G$213,MATCH($A40,Artículos!$A$2:$A$213,0)),""))</f>
        <v/>
      </c>
    </row>
    <row r="41" spans="1:7" x14ac:dyDescent="0.25">
      <c r="A41" s="14"/>
      <c r="B41" s="11" t="str">
        <f>IF($A41="","",IFERROR(INDEX(Artículos!$E$2:$E$213,MATCH($A41,Artículos!$A$2:$A$213,0)),""))</f>
        <v/>
      </c>
      <c r="C41" s="14"/>
      <c r="D41" s="11" t="str">
        <f t="shared" si="2"/>
        <v/>
      </c>
      <c r="E41" s="11" t="str">
        <f t="shared" si="3"/>
        <v/>
      </c>
      <c r="F41" s="14"/>
      <c r="G41" s="11" t="str">
        <f>IF($A41="","",IFERROR(INDEX(Artículos!$G$2:$G$213,MATCH($A41,Artículos!$A$2:$A$213,0)),""))</f>
        <v/>
      </c>
    </row>
    <row r="42" spans="1:7" x14ac:dyDescent="0.25">
      <c r="A42" s="14"/>
      <c r="B42" s="11" t="str">
        <f>IF($A42="","",IFERROR(INDEX(Artículos!$E$2:$E$213,MATCH($A42,Artículos!$A$2:$A$213,0)),""))</f>
        <v/>
      </c>
      <c r="C42" s="14"/>
      <c r="D42" s="11" t="str">
        <f t="shared" si="2"/>
        <v/>
      </c>
      <c r="E42" s="11" t="str">
        <f t="shared" si="3"/>
        <v/>
      </c>
      <c r="F42" s="14"/>
      <c r="G42" s="11" t="str">
        <f>IF($A42="","",IFERROR(INDEX(Artículos!$G$2:$G$213,MATCH($A42,Artículos!$A$2:$A$213,0)),""))</f>
        <v/>
      </c>
    </row>
    <row r="43" spans="1:7" x14ac:dyDescent="0.25">
      <c r="A43" s="14"/>
      <c r="B43" s="11" t="str">
        <f>IF($A43="","",IFERROR(INDEX(Artículos!$E$2:$E$213,MATCH($A43,Artículos!$A$2:$A$213,0)),""))</f>
        <v/>
      </c>
      <c r="C43" s="14"/>
      <c r="D43" s="11" t="str">
        <f t="shared" si="2"/>
        <v/>
      </c>
      <c r="E43" s="11" t="str">
        <f t="shared" si="3"/>
        <v/>
      </c>
      <c r="F43" s="14"/>
      <c r="G43" s="11" t="str">
        <f>IF($A43="","",IFERROR(INDEX(Artículos!$G$2:$G$213,MATCH($A43,Artículos!$A$2:$A$213,0)),""))</f>
        <v/>
      </c>
    </row>
    <row r="44" spans="1:7" x14ac:dyDescent="0.25">
      <c r="A44" s="14"/>
      <c r="B44" s="11" t="str">
        <f>IF($A44="","",IFERROR(INDEX(Artículos!$E$2:$E$213,MATCH($A44,Artículos!$A$2:$A$213,0)),""))</f>
        <v/>
      </c>
      <c r="C44" s="14"/>
      <c r="D44" s="11" t="str">
        <f t="shared" si="2"/>
        <v/>
      </c>
      <c r="E44" s="11" t="str">
        <f t="shared" si="3"/>
        <v/>
      </c>
      <c r="F44" s="14"/>
      <c r="G44" s="11" t="str">
        <f>IF($A44="","",IFERROR(INDEX(Artículos!$G$2:$G$213,MATCH($A44,Artículos!$A$2:$A$213,0)),""))</f>
        <v/>
      </c>
    </row>
    <row r="45" spans="1:7" x14ac:dyDescent="0.25">
      <c r="A45" s="14"/>
      <c r="B45" s="11" t="str">
        <f>IF($A45="","",IFERROR(INDEX(Artículos!$E$2:$E$213,MATCH($A45,Artículos!$A$2:$A$213,0)),""))</f>
        <v/>
      </c>
      <c r="C45" s="14"/>
      <c r="D45" s="11" t="str">
        <f t="shared" si="2"/>
        <v/>
      </c>
      <c r="E45" s="11" t="str">
        <f t="shared" si="3"/>
        <v/>
      </c>
      <c r="F45" s="14"/>
      <c r="G45" s="11" t="str">
        <f>IF($A45="","",IFERROR(INDEX(Artículos!$G$2:$G$213,MATCH($A45,Artículos!$A$2:$A$213,0)),""))</f>
        <v/>
      </c>
    </row>
    <row r="46" spans="1:7" x14ac:dyDescent="0.25">
      <c r="A46" s="14"/>
      <c r="B46" s="11" t="str">
        <f>IF($A46="","",IFERROR(INDEX(Artículos!$E$2:$E$213,MATCH($A46,Artículos!$A$2:$A$213,0)),""))</f>
        <v/>
      </c>
      <c r="C46" s="14"/>
      <c r="D46" s="11" t="str">
        <f t="shared" si="2"/>
        <v/>
      </c>
      <c r="E46" s="11" t="str">
        <f t="shared" si="3"/>
        <v/>
      </c>
      <c r="F46" s="14"/>
      <c r="G46" s="11" t="str">
        <f>IF($A46="","",IFERROR(INDEX(Artículos!$G$2:$G$213,MATCH($A46,Artículos!$A$2:$A$213,0)),""))</f>
        <v/>
      </c>
    </row>
    <row r="47" spans="1:7" x14ac:dyDescent="0.25">
      <c r="A47" s="14"/>
      <c r="B47" s="11" t="str">
        <f>IF($A47="","",IFERROR(INDEX(Artículos!$E$2:$E$213,MATCH($A47,Artículos!$A$2:$A$213,0)),""))</f>
        <v/>
      </c>
      <c r="C47" s="14"/>
      <c r="D47" s="11" t="str">
        <f t="shared" si="2"/>
        <v/>
      </c>
      <c r="E47" s="11" t="str">
        <f t="shared" si="3"/>
        <v/>
      </c>
      <c r="F47" s="14"/>
      <c r="G47" s="11" t="str">
        <f>IF($A47="","",IFERROR(INDEX(Artículos!$G$2:$G$213,MATCH($A47,Artículos!$A$2:$A$213,0)),""))</f>
        <v/>
      </c>
    </row>
    <row r="48" spans="1:7" x14ac:dyDescent="0.25">
      <c r="A48" s="14"/>
      <c r="B48" s="11" t="str">
        <f>IF($A48="","",IFERROR(INDEX(Artículos!$E$2:$E$213,MATCH($A48,Artículos!$A$2:$A$213,0)),""))</f>
        <v/>
      </c>
      <c r="C48" s="14"/>
      <c r="D48" s="11" t="str">
        <f t="shared" si="2"/>
        <v/>
      </c>
      <c r="E48" s="11" t="str">
        <f t="shared" si="3"/>
        <v/>
      </c>
      <c r="F48" s="14"/>
      <c r="G48" s="11" t="str">
        <f>IF($A48="","",IFERROR(INDEX(Artículos!$G$2:$G$213,MATCH($A48,Artículos!$A$2:$A$213,0)),""))</f>
        <v/>
      </c>
    </row>
    <row r="49" spans="1:7" x14ac:dyDescent="0.25">
      <c r="A49" s="14"/>
      <c r="B49" s="11" t="str">
        <f>IF($A49="","",IFERROR(INDEX(Artículos!$E$2:$E$213,MATCH($A49,Artículos!$A$2:$A$213,0)),""))</f>
        <v/>
      </c>
      <c r="C49" s="14"/>
      <c r="D49" s="11" t="str">
        <f t="shared" si="2"/>
        <v/>
      </c>
      <c r="E49" s="11" t="str">
        <f t="shared" si="3"/>
        <v/>
      </c>
      <c r="F49" s="14"/>
      <c r="G49" s="11" t="str">
        <f>IF($A49="","",IFERROR(INDEX(Artículos!$G$2:$G$213,MATCH($A49,Artículos!$A$2:$A$213,0)),""))</f>
        <v/>
      </c>
    </row>
    <row r="50" spans="1:7" x14ac:dyDescent="0.25">
      <c r="A50" s="14"/>
      <c r="B50" s="11" t="str">
        <f>IF($A50="","",IFERROR(INDEX(Artículos!$E$2:$E$213,MATCH($A50,Artículos!$A$2:$A$213,0)),""))</f>
        <v/>
      </c>
      <c r="C50" s="14"/>
      <c r="D50" s="11" t="str">
        <f t="shared" si="2"/>
        <v/>
      </c>
      <c r="E50" s="11" t="str">
        <f t="shared" si="3"/>
        <v/>
      </c>
      <c r="F50" s="14"/>
      <c r="G50" s="11" t="str">
        <f>IF($A50="","",IFERROR(INDEX(Artículos!$G$2:$G$213,MATCH($A50,Artículos!$A$2:$A$213,0)),""))</f>
        <v/>
      </c>
    </row>
    <row r="51" spans="1:7" x14ac:dyDescent="0.25">
      <c r="A51" s="14"/>
      <c r="B51" s="11" t="str">
        <f>IF($A51="","",IFERROR(INDEX(Artículos!$E$2:$E$213,MATCH($A51,Artículos!$A$2:$A$213,0)),""))</f>
        <v/>
      </c>
      <c r="C51" s="14"/>
      <c r="D51" s="11" t="str">
        <f t="shared" si="2"/>
        <v/>
      </c>
      <c r="E51" s="11" t="str">
        <f t="shared" si="3"/>
        <v/>
      </c>
      <c r="F51" s="14"/>
      <c r="G51" s="11" t="str">
        <f>IF($A51="","",IFERROR(INDEX(Artículos!$G$2:$G$213,MATCH($A51,Artículos!$A$2:$A$213,0)),""))</f>
        <v/>
      </c>
    </row>
    <row r="52" spans="1:7" x14ac:dyDescent="0.25">
      <c r="A52" s="14"/>
      <c r="B52" s="11" t="str">
        <f>IF($A52="","",IFERROR(INDEX(Artículos!$E$2:$E$213,MATCH($A52,Artículos!$A$2:$A$213,0)),""))</f>
        <v/>
      </c>
      <c r="C52" s="14"/>
      <c r="D52" s="11" t="str">
        <f t="shared" si="2"/>
        <v/>
      </c>
      <c r="E52" s="11" t="str">
        <f t="shared" si="3"/>
        <v/>
      </c>
      <c r="F52" s="14"/>
      <c r="G52" s="11" t="str">
        <f>IF($A52="","",IFERROR(INDEX(Artículos!$G$2:$G$213,MATCH($A52,Artículos!$A$2:$A$213,0)),""))</f>
        <v/>
      </c>
    </row>
    <row r="53" spans="1:7" x14ac:dyDescent="0.25">
      <c r="A53" s="14"/>
      <c r="B53" s="11" t="str">
        <f>IF($A53="","",IFERROR(INDEX(Artículos!$E$2:$E$213,MATCH($A53,Artículos!$A$2:$A$213,0)),""))</f>
        <v/>
      </c>
      <c r="C53" s="14"/>
      <c r="D53" s="11" t="str">
        <f t="shared" si="2"/>
        <v/>
      </c>
      <c r="E53" s="11" t="str">
        <f t="shared" si="3"/>
        <v/>
      </c>
      <c r="F53" s="14"/>
      <c r="G53" s="11" t="str">
        <f>IF($A53="","",IFERROR(INDEX(Artículos!$G$2:$G$213,MATCH($A53,Artículos!$A$2:$A$213,0)),""))</f>
        <v/>
      </c>
    </row>
    <row r="54" spans="1:7" x14ac:dyDescent="0.25">
      <c r="A54" s="14"/>
      <c r="B54" s="11" t="str">
        <f>IF($A54="","",IFERROR(INDEX(Artículos!$E$2:$E$213,MATCH($A54,Artículos!$A$2:$A$213,0)),""))</f>
        <v/>
      </c>
      <c r="C54" s="14"/>
      <c r="D54" s="11" t="str">
        <f t="shared" si="2"/>
        <v/>
      </c>
      <c r="E54" s="11" t="str">
        <f t="shared" si="3"/>
        <v/>
      </c>
      <c r="F54" s="14"/>
      <c r="G54" s="11" t="str">
        <f>IF($A54="","",IFERROR(INDEX(Artículos!$G$2:$G$213,MATCH($A54,Artículos!$A$2:$A$213,0)),""))</f>
        <v/>
      </c>
    </row>
    <row r="55" spans="1:7" x14ac:dyDescent="0.25">
      <c r="A55" s="14"/>
      <c r="B55" s="11" t="str">
        <f>IF($A55="","",IFERROR(INDEX(Artículos!$E$2:$E$213,MATCH($A55,Artículos!$A$2:$A$213,0)),""))</f>
        <v/>
      </c>
      <c r="C55" s="14"/>
      <c r="D55" s="11" t="str">
        <f t="shared" si="2"/>
        <v/>
      </c>
      <c r="E55" s="11" t="str">
        <f t="shared" si="3"/>
        <v/>
      </c>
      <c r="F55" s="14"/>
      <c r="G55" s="11" t="str">
        <f>IF($A55="","",IFERROR(INDEX(Artículos!$G$2:$G$213,MATCH($A55,Artículos!$A$2:$A$213,0)),""))</f>
        <v/>
      </c>
    </row>
    <row r="56" spans="1:7" x14ac:dyDescent="0.25">
      <c r="A56" s="14"/>
      <c r="B56" s="11" t="str">
        <f>IF($A56="","",IFERROR(INDEX(Artículos!$E$2:$E$213,MATCH($A56,Artículos!$A$2:$A$213,0)),""))</f>
        <v/>
      </c>
      <c r="C56" s="14"/>
      <c r="D56" s="11" t="str">
        <f t="shared" si="2"/>
        <v/>
      </c>
      <c r="E56" s="11" t="str">
        <f t="shared" si="3"/>
        <v/>
      </c>
      <c r="F56" s="14"/>
      <c r="G56" s="11" t="str">
        <f>IF($A56="","",IFERROR(INDEX(Artículos!$G$2:$G$213,MATCH($A56,Artículos!$A$2:$A$213,0)),""))</f>
        <v/>
      </c>
    </row>
    <row r="57" spans="1:7" x14ac:dyDescent="0.25">
      <c r="A57" s="14"/>
      <c r="B57" s="11" t="str">
        <f>IF($A57="","",IFERROR(INDEX(Artículos!$E$2:$E$213,MATCH($A57,Artículos!$A$2:$A$213,0)),""))</f>
        <v/>
      </c>
      <c r="C57" s="14"/>
      <c r="D57" s="11" t="str">
        <f t="shared" si="2"/>
        <v/>
      </c>
      <c r="E57" s="11" t="str">
        <f t="shared" si="3"/>
        <v/>
      </c>
      <c r="F57" s="14"/>
      <c r="G57" s="11" t="str">
        <f>IF($A57="","",IFERROR(INDEX(Artículos!$G$2:$G$213,MATCH($A57,Artículos!$A$2:$A$213,0)),""))</f>
        <v/>
      </c>
    </row>
    <row r="58" spans="1:7" x14ac:dyDescent="0.25">
      <c r="A58" s="14"/>
      <c r="B58" s="11" t="str">
        <f>IF($A58="","",IFERROR(INDEX(Artículos!$E$2:$E$213,MATCH($A58,Artículos!$A$2:$A$213,0)),""))</f>
        <v/>
      </c>
      <c r="C58" s="14"/>
      <c r="D58" s="11" t="str">
        <f t="shared" si="2"/>
        <v/>
      </c>
      <c r="E58" s="11" t="str">
        <f t="shared" si="3"/>
        <v/>
      </c>
      <c r="F58" s="14"/>
      <c r="G58" s="11" t="str">
        <f>IF($A58="","",IFERROR(INDEX(Artículos!$G$2:$G$213,MATCH($A58,Artículos!$A$2:$A$213,0)),""))</f>
        <v/>
      </c>
    </row>
    <row r="59" spans="1:7" x14ac:dyDescent="0.25">
      <c r="A59" s="14"/>
      <c r="B59" s="11" t="str">
        <f>IF($A59="","",IFERROR(INDEX(Artículos!$E$2:$E$213,MATCH($A59,Artículos!$A$2:$A$213,0)),""))</f>
        <v/>
      </c>
      <c r="C59" s="14"/>
      <c r="D59" s="11" t="str">
        <f t="shared" si="2"/>
        <v/>
      </c>
      <c r="E59" s="11" t="str">
        <f t="shared" si="3"/>
        <v/>
      </c>
      <c r="F59" s="14"/>
      <c r="G59" s="11" t="str">
        <f>IF($A59="","",IFERROR(INDEX(Artículos!$G$2:$G$213,MATCH($A59,Artículos!$A$2:$A$213,0)),""))</f>
        <v/>
      </c>
    </row>
    <row r="60" spans="1:7" x14ac:dyDescent="0.25">
      <c r="A60" s="14"/>
      <c r="B60" s="11" t="str">
        <f>IF($A60="","",IFERROR(INDEX(Artículos!$E$2:$E$213,MATCH($A60,Artículos!$A$2:$A$213,0)),""))</f>
        <v/>
      </c>
      <c r="C60" s="14"/>
      <c r="D60" s="11" t="str">
        <f t="shared" si="2"/>
        <v/>
      </c>
      <c r="E60" s="11" t="str">
        <f t="shared" si="3"/>
        <v/>
      </c>
      <c r="F60" s="14"/>
      <c r="G60" s="11" t="str">
        <f>IF($A60="","",IFERROR(INDEX(Artículos!$G$2:$G$213,MATCH($A60,Artículos!$A$2:$A$213,0)),""))</f>
        <v/>
      </c>
    </row>
    <row r="61" spans="1:7" x14ac:dyDescent="0.25">
      <c r="A61" s="14"/>
      <c r="B61" s="11" t="str">
        <f>IF($A61="","",IFERROR(INDEX(Artículos!$E$2:$E$213,MATCH($A61,Artículos!$A$2:$A$213,0)),""))</f>
        <v/>
      </c>
      <c r="C61" s="14"/>
      <c r="D61" s="11" t="str">
        <f t="shared" si="2"/>
        <v/>
      </c>
      <c r="E61" s="11" t="str">
        <f t="shared" si="3"/>
        <v/>
      </c>
      <c r="F61" s="14"/>
      <c r="G61" s="11" t="str">
        <f>IF($A61="","",IFERROR(INDEX(Artículos!$G$2:$G$213,MATCH($A61,Artículos!$A$2:$A$213,0)),""))</f>
        <v/>
      </c>
    </row>
    <row r="62" spans="1:7" x14ac:dyDescent="0.25">
      <c r="A62" s="14"/>
      <c r="B62" s="11" t="str">
        <f>IF($A62="","",IFERROR(INDEX(Artículos!$E$2:$E$213,MATCH($A62,Artículos!$A$2:$A$213,0)),""))</f>
        <v/>
      </c>
      <c r="C62" s="14"/>
      <c r="D62" s="11" t="str">
        <f t="shared" si="2"/>
        <v/>
      </c>
      <c r="E62" s="11" t="str">
        <f t="shared" si="3"/>
        <v/>
      </c>
      <c r="F62" s="14"/>
      <c r="G62" s="11" t="str">
        <f>IF($A62="","",IFERROR(INDEX(Artículos!$G$2:$G$213,MATCH($A62,Artículos!$A$2:$A$213,0)),""))</f>
        <v/>
      </c>
    </row>
    <row r="63" spans="1:7" x14ac:dyDescent="0.25">
      <c r="A63" s="14"/>
      <c r="B63" s="11" t="str">
        <f>IF($A63="","",IFERROR(INDEX(Artículos!$E$2:$E$213,MATCH($A63,Artículos!$A$2:$A$213,0)),""))</f>
        <v/>
      </c>
      <c r="C63" s="14"/>
      <c r="D63" s="11" t="str">
        <f t="shared" si="2"/>
        <v/>
      </c>
      <c r="E63" s="11" t="str">
        <f t="shared" si="3"/>
        <v/>
      </c>
      <c r="F63" s="14"/>
      <c r="G63" s="11" t="str">
        <f>IF($A63="","",IFERROR(INDEX(Artículos!$G$2:$G$213,MATCH($A63,Artículos!$A$2:$A$213,0)),""))</f>
        <v/>
      </c>
    </row>
    <row r="64" spans="1:7" x14ac:dyDescent="0.25">
      <c r="A64" s="14"/>
      <c r="B64" s="11" t="str">
        <f>IF($A64="","",IFERROR(INDEX(Artículos!$E$2:$E$213,MATCH($A64,Artículos!$A$2:$A$213,0)),""))</f>
        <v/>
      </c>
      <c r="C64" s="14"/>
      <c r="D64" s="11" t="str">
        <f t="shared" si="2"/>
        <v/>
      </c>
      <c r="E64" s="11" t="str">
        <f t="shared" si="3"/>
        <v/>
      </c>
      <c r="F64" s="14"/>
      <c r="G64" s="11" t="str">
        <f>IF($A64="","",IFERROR(INDEX(Artículos!$G$2:$G$213,MATCH($A64,Artículos!$A$2:$A$213,0)),""))</f>
        <v/>
      </c>
    </row>
    <row r="65" spans="1:7" x14ac:dyDescent="0.25">
      <c r="A65" s="14"/>
      <c r="B65" s="11" t="str">
        <f>IF($A65="","",IFERROR(INDEX(Artículos!$E$2:$E$213,MATCH($A65,Artículos!$A$2:$A$213,0)),""))</f>
        <v/>
      </c>
      <c r="C65" s="14"/>
      <c r="D65" s="11" t="str">
        <f t="shared" si="2"/>
        <v/>
      </c>
      <c r="E65" s="11" t="str">
        <f t="shared" si="3"/>
        <v/>
      </c>
      <c r="F65" s="14"/>
      <c r="G65" s="11" t="str">
        <f>IF($A65="","",IFERROR(INDEX(Artículos!$G$2:$G$213,MATCH($A65,Artículos!$A$2:$A$213,0)),""))</f>
        <v/>
      </c>
    </row>
    <row r="66" spans="1:7" x14ac:dyDescent="0.25">
      <c r="A66" s="14"/>
      <c r="B66" s="11" t="str">
        <f>IF($A66="","",IFERROR(INDEX(Artículos!$E$2:$E$213,MATCH($A66,Artículos!$A$2:$A$213,0)),""))</f>
        <v/>
      </c>
      <c r="C66" s="14"/>
      <c r="D66" s="11" t="str">
        <f t="shared" si="2"/>
        <v/>
      </c>
      <c r="E66" s="11" t="str">
        <f t="shared" si="3"/>
        <v/>
      </c>
      <c r="F66" s="14"/>
      <c r="G66" s="11" t="str">
        <f>IF($A66="","",IFERROR(INDEX(Artículos!$G$2:$G$213,MATCH($A66,Artículos!$A$2:$A$213,0)),""))</f>
        <v/>
      </c>
    </row>
    <row r="67" spans="1:7" x14ac:dyDescent="0.25">
      <c r="A67" s="14"/>
      <c r="B67" s="11" t="str">
        <f>IF($A67="","",IFERROR(INDEX(Artículos!$E$2:$E$213,MATCH($A67,Artículos!$A$2:$A$213,0)),""))</f>
        <v/>
      </c>
      <c r="C67" s="14"/>
      <c r="D67" s="11" t="str">
        <f t="shared" ref="D67:D98" si="4">IF($C67="","",IFERROR(INDEX(ALM_NOM,MATCH($C67,ALM_COD,0)),""))</f>
        <v/>
      </c>
      <c r="E67" s="11" t="str">
        <f t="shared" ref="E67:E98" si="5">IF($C67="","",IFERROR(INDEX(ALM_SEDE,MATCH($C67,ALM_COD,0)),""))</f>
        <v/>
      </c>
      <c r="F67" s="14"/>
      <c r="G67" s="11" t="str">
        <f>IF($A67="","",IFERROR(INDEX(Artículos!$G$2:$G$213,MATCH($A67,Artículos!$A$2:$A$213,0)),""))</f>
        <v/>
      </c>
    </row>
    <row r="68" spans="1:7" x14ac:dyDescent="0.25">
      <c r="A68" s="14"/>
      <c r="B68" s="11" t="str">
        <f>IF($A68="","",IFERROR(INDEX(Artículos!$E$2:$E$213,MATCH($A68,Artículos!$A$2:$A$213,0)),""))</f>
        <v/>
      </c>
      <c r="C68" s="14"/>
      <c r="D68" s="11" t="str">
        <f t="shared" si="4"/>
        <v/>
      </c>
      <c r="E68" s="11" t="str">
        <f t="shared" si="5"/>
        <v/>
      </c>
      <c r="F68" s="14"/>
      <c r="G68" s="11" t="str">
        <f>IF($A68="","",IFERROR(INDEX(Artículos!$G$2:$G$213,MATCH($A68,Artículos!$A$2:$A$213,0)),""))</f>
        <v/>
      </c>
    </row>
    <row r="69" spans="1:7" x14ac:dyDescent="0.25">
      <c r="A69" s="14"/>
      <c r="B69" s="11" t="str">
        <f>IF($A69="","",IFERROR(INDEX(Artículos!$E$2:$E$213,MATCH($A69,Artículos!$A$2:$A$213,0)),""))</f>
        <v/>
      </c>
      <c r="C69" s="14"/>
      <c r="D69" s="11" t="str">
        <f t="shared" si="4"/>
        <v/>
      </c>
      <c r="E69" s="11" t="str">
        <f t="shared" si="5"/>
        <v/>
      </c>
      <c r="F69" s="14"/>
      <c r="G69" s="11" t="str">
        <f>IF($A69="","",IFERROR(INDEX(Artículos!$G$2:$G$213,MATCH($A69,Artículos!$A$2:$A$213,0)),""))</f>
        <v/>
      </c>
    </row>
    <row r="70" spans="1:7" x14ac:dyDescent="0.25">
      <c r="A70" s="14"/>
      <c r="B70" s="11" t="str">
        <f>IF($A70="","",IFERROR(INDEX(Artículos!$E$2:$E$213,MATCH($A70,Artículos!$A$2:$A$213,0)),""))</f>
        <v/>
      </c>
      <c r="C70" s="14"/>
      <c r="D70" s="11" t="str">
        <f t="shared" si="4"/>
        <v/>
      </c>
      <c r="E70" s="11" t="str">
        <f t="shared" si="5"/>
        <v/>
      </c>
      <c r="F70" s="14"/>
      <c r="G70" s="11" t="str">
        <f>IF($A70="","",IFERROR(INDEX(Artículos!$G$2:$G$213,MATCH($A70,Artículos!$A$2:$A$213,0)),""))</f>
        <v/>
      </c>
    </row>
    <row r="71" spans="1:7" x14ac:dyDescent="0.25">
      <c r="A71" s="14"/>
      <c r="B71" s="11" t="str">
        <f>IF($A71="","",IFERROR(INDEX(Artículos!$E$2:$E$213,MATCH($A71,Artículos!$A$2:$A$213,0)),""))</f>
        <v/>
      </c>
      <c r="C71" s="14"/>
      <c r="D71" s="11" t="str">
        <f t="shared" si="4"/>
        <v/>
      </c>
      <c r="E71" s="11" t="str">
        <f t="shared" si="5"/>
        <v/>
      </c>
      <c r="F71" s="14"/>
      <c r="G71" s="11" t="str">
        <f>IF($A71="","",IFERROR(INDEX(Artículos!$G$2:$G$213,MATCH($A71,Artículos!$A$2:$A$213,0)),""))</f>
        <v/>
      </c>
    </row>
    <row r="72" spans="1:7" x14ac:dyDescent="0.25">
      <c r="A72" s="14"/>
      <c r="B72" s="11" t="str">
        <f>IF($A72="","",IFERROR(INDEX(Artículos!$E$2:$E$213,MATCH($A72,Artículos!$A$2:$A$213,0)),""))</f>
        <v/>
      </c>
      <c r="C72" s="14"/>
      <c r="D72" s="11" t="str">
        <f t="shared" si="4"/>
        <v/>
      </c>
      <c r="E72" s="11" t="str">
        <f t="shared" si="5"/>
        <v/>
      </c>
      <c r="F72" s="14"/>
      <c r="G72" s="11" t="str">
        <f>IF($A72="","",IFERROR(INDEX(Artículos!$G$2:$G$213,MATCH($A72,Artículos!$A$2:$A$213,0)),""))</f>
        <v/>
      </c>
    </row>
    <row r="73" spans="1:7" x14ac:dyDescent="0.25">
      <c r="A73" s="14"/>
      <c r="B73" s="11" t="str">
        <f>IF($A73="","",IFERROR(INDEX(Artículos!$E$2:$E$213,MATCH($A73,Artículos!$A$2:$A$213,0)),""))</f>
        <v/>
      </c>
      <c r="C73" s="14"/>
      <c r="D73" s="11" t="str">
        <f t="shared" si="4"/>
        <v/>
      </c>
      <c r="E73" s="11" t="str">
        <f t="shared" si="5"/>
        <v/>
      </c>
      <c r="F73" s="14"/>
      <c r="G73" s="11" t="str">
        <f>IF($A73="","",IFERROR(INDEX(Artículos!$G$2:$G$213,MATCH($A73,Artículos!$A$2:$A$213,0)),""))</f>
        <v/>
      </c>
    </row>
    <row r="74" spans="1:7" x14ac:dyDescent="0.25">
      <c r="A74" s="14"/>
      <c r="B74" s="11" t="str">
        <f>IF($A74="","",IFERROR(INDEX(Artículos!$E$2:$E$213,MATCH($A74,Artículos!$A$2:$A$213,0)),""))</f>
        <v/>
      </c>
      <c r="C74" s="14"/>
      <c r="D74" s="11" t="str">
        <f t="shared" si="4"/>
        <v/>
      </c>
      <c r="E74" s="11" t="str">
        <f t="shared" si="5"/>
        <v/>
      </c>
      <c r="F74" s="14"/>
      <c r="G74" s="11" t="str">
        <f>IF($A74="","",IFERROR(INDEX(Artículos!$G$2:$G$213,MATCH($A74,Artículos!$A$2:$A$213,0)),""))</f>
        <v/>
      </c>
    </row>
    <row r="75" spans="1:7" x14ac:dyDescent="0.25">
      <c r="A75" s="14"/>
      <c r="B75" s="11" t="str">
        <f>IF($A75="","",IFERROR(INDEX(Artículos!$E$2:$E$213,MATCH($A75,Artículos!$A$2:$A$213,0)),""))</f>
        <v/>
      </c>
      <c r="C75" s="14"/>
      <c r="D75" s="11" t="str">
        <f t="shared" si="4"/>
        <v/>
      </c>
      <c r="E75" s="11" t="str">
        <f t="shared" si="5"/>
        <v/>
      </c>
      <c r="F75" s="14"/>
      <c r="G75" s="11" t="str">
        <f>IF($A75="","",IFERROR(INDEX(Artículos!$G$2:$G$213,MATCH($A75,Artículos!$A$2:$A$213,0)),""))</f>
        <v/>
      </c>
    </row>
    <row r="76" spans="1:7" x14ac:dyDescent="0.25">
      <c r="A76" s="14"/>
      <c r="B76" s="11" t="str">
        <f>IF($A76="","",IFERROR(INDEX(Artículos!$E$2:$E$213,MATCH($A76,Artículos!$A$2:$A$213,0)),""))</f>
        <v/>
      </c>
      <c r="C76" s="14"/>
      <c r="D76" s="11" t="str">
        <f t="shared" si="4"/>
        <v/>
      </c>
      <c r="E76" s="11" t="str">
        <f t="shared" si="5"/>
        <v/>
      </c>
      <c r="F76" s="14"/>
      <c r="G76" s="11" t="str">
        <f>IF($A76="","",IFERROR(INDEX(Artículos!$G$2:$G$213,MATCH($A76,Artículos!$A$2:$A$213,0)),""))</f>
        <v/>
      </c>
    </row>
    <row r="77" spans="1:7" x14ac:dyDescent="0.25">
      <c r="A77" s="14"/>
      <c r="B77" s="11" t="str">
        <f>IF($A77="","",IFERROR(INDEX(Artículos!$E$2:$E$213,MATCH($A77,Artículos!$A$2:$A$213,0)),""))</f>
        <v/>
      </c>
      <c r="C77" s="14"/>
      <c r="D77" s="11" t="str">
        <f t="shared" si="4"/>
        <v/>
      </c>
      <c r="E77" s="11" t="str">
        <f t="shared" si="5"/>
        <v/>
      </c>
      <c r="F77" s="14"/>
      <c r="G77" s="11" t="str">
        <f>IF($A77="","",IFERROR(INDEX(Artículos!$G$2:$G$213,MATCH($A77,Artículos!$A$2:$A$213,0)),""))</f>
        <v/>
      </c>
    </row>
    <row r="78" spans="1:7" x14ac:dyDescent="0.25">
      <c r="A78" s="14"/>
      <c r="B78" s="11" t="str">
        <f>IF($A78="","",IFERROR(INDEX(Artículos!$E$2:$E$213,MATCH($A78,Artículos!$A$2:$A$213,0)),""))</f>
        <v/>
      </c>
      <c r="C78" s="14"/>
      <c r="D78" s="11" t="str">
        <f t="shared" si="4"/>
        <v/>
      </c>
      <c r="E78" s="11" t="str">
        <f t="shared" si="5"/>
        <v/>
      </c>
      <c r="F78" s="14"/>
      <c r="G78" s="11" t="str">
        <f>IF($A78="","",IFERROR(INDEX(Artículos!$G$2:$G$213,MATCH($A78,Artículos!$A$2:$A$213,0)),""))</f>
        <v/>
      </c>
    </row>
    <row r="79" spans="1:7" x14ac:dyDescent="0.25">
      <c r="A79" s="14"/>
      <c r="B79" s="11" t="str">
        <f>IF($A79="","",IFERROR(INDEX(Artículos!$E$2:$E$213,MATCH($A79,Artículos!$A$2:$A$213,0)),""))</f>
        <v/>
      </c>
      <c r="C79" s="14"/>
      <c r="D79" s="11" t="str">
        <f t="shared" si="4"/>
        <v/>
      </c>
      <c r="E79" s="11" t="str">
        <f t="shared" si="5"/>
        <v/>
      </c>
      <c r="F79" s="14"/>
      <c r="G79" s="11" t="str">
        <f>IF($A79="","",IFERROR(INDEX(Artículos!$G$2:$G$213,MATCH($A79,Artículos!$A$2:$A$213,0)),""))</f>
        <v/>
      </c>
    </row>
    <row r="80" spans="1:7" x14ac:dyDescent="0.25">
      <c r="A80" s="14"/>
      <c r="B80" s="11" t="str">
        <f>IF($A80="","",IFERROR(INDEX(Artículos!$E$2:$E$213,MATCH($A80,Artículos!$A$2:$A$213,0)),""))</f>
        <v/>
      </c>
      <c r="C80" s="14"/>
      <c r="D80" s="11" t="str">
        <f t="shared" si="4"/>
        <v/>
      </c>
      <c r="E80" s="11" t="str">
        <f t="shared" si="5"/>
        <v/>
      </c>
      <c r="F80" s="14"/>
      <c r="G80" s="11" t="str">
        <f>IF($A80="","",IFERROR(INDEX(Artículos!$G$2:$G$213,MATCH($A80,Artículos!$A$2:$A$213,0)),""))</f>
        <v/>
      </c>
    </row>
    <row r="81" spans="1:7" x14ac:dyDescent="0.25">
      <c r="A81" s="14"/>
      <c r="B81" s="11" t="str">
        <f>IF($A81="","",IFERROR(INDEX(Artículos!$E$2:$E$213,MATCH($A81,Artículos!$A$2:$A$213,0)),""))</f>
        <v/>
      </c>
      <c r="C81" s="14"/>
      <c r="D81" s="11" t="str">
        <f t="shared" si="4"/>
        <v/>
      </c>
      <c r="E81" s="11" t="str">
        <f t="shared" si="5"/>
        <v/>
      </c>
      <c r="F81" s="14"/>
      <c r="G81" s="11" t="str">
        <f>IF($A81="","",IFERROR(INDEX(Artículos!$G$2:$G$213,MATCH($A81,Artículos!$A$2:$A$213,0)),""))</f>
        <v/>
      </c>
    </row>
    <row r="82" spans="1:7" x14ac:dyDescent="0.25">
      <c r="A82" s="14"/>
      <c r="B82" s="11" t="str">
        <f>IF($A82="","",IFERROR(INDEX(Artículos!$E$2:$E$213,MATCH($A82,Artículos!$A$2:$A$213,0)),""))</f>
        <v/>
      </c>
      <c r="C82" s="14"/>
      <c r="D82" s="11" t="str">
        <f t="shared" si="4"/>
        <v/>
      </c>
      <c r="E82" s="11" t="str">
        <f t="shared" si="5"/>
        <v/>
      </c>
      <c r="F82" s="14"/>
      <c r="G82" s="11" t="str">
        <f>IF($A82="","",IFERROR(INDEX(Artículos!$G$2:$G$213,MATCH($A82,Artículos!$A$2:$A$213,0)),""))</f>
        <v/>
      </c>
    </row>
    <row r="83" spans="1:7" x14ac:dyDescent="0.25">
      <c r="A83" s="14"/>
      <c r="B83" s="11" t="str">
        <f>IF($A83="","",IFERROR(INDEX(Artículos!$E$2:$E$213,MATCH($A83,Artículos!$A$2:$A$213,0)),""))</f>
        <v/>
      </c>
      <c r="C83" s="14"/>
      <c r="D83" s="11" t="str">
        <f t="shared" si="4"/>
        <v/>
      </c>
      <c r="E83" s="11" t="str">
        <f t="shared" si="5"/>
        <v/>
      </c>
      <c r="F83" s="14"/>
      <c r="G83" s="11" t="str">
        <f>IF($A83="","",IFERROR(INDEX(Artículos!$G$2:$G$213,MATCH($A83,Artículos!$A$2:$A$213,0)),""))</f>
        <v/>
      </c>
    </row>
    <row r="84" spans="1:7" x14ac:dyDescent="0.25">
      <c r="A84" s="14"/>
      <c r="B84" s="11" t="str">
        <f>IF($A84="","",IFERROR(INDEX(Artículos!$E$2:$E$213,MATCH($A84,Artículos!$A$2:$A$213,0)),""))</f>
        <v/>
      </c>
      <c r="C84" s="14"/>
      <c r="D84" s="11" t="str">
        <f t="shared" si="4"/>
        <v/>
      </c>
      <c r="E84" s="11" t="str">
        <f t="shared" si="5"/>
        <v/>
      </c>
      <c r="F84" s="14"/>
      <c r="G84" s="11" t="str">
        <f>IF($A84="","",IFERROR(INDEX(Artículos!$G$2:$G$213,MATCH($A84,Artículos!$A$2:$A$213,0)),""))</f>
        <v/>
      </c>
    </row>
    <row r="85" spans="1:7" x14ac:dyDescent="0.25">
      <c r="A85" s="14"/>
      <c r="B85" s="11" t="str">
        <f>IF($A85="","",IFERROR(INDEX(Artículos!$E$2:$E$213,MATCH($A85,Artículos!$A$2:$A$213,0)),""))</f>
        <v/>
      </c>
      <c r="C85" s="14"/>
      <c r="D85" s="11" t="str">
        <f t="shared" si="4"/>
        <v/>
      </c>
      <c r="E85" s="11" t="str">
        <f t="shared" si="5"/>
        <v/>
      </c>
      <c r="F85" s="14"/>
      <c r="G85" s="11" t="str">
        <f>IF($A85="","",IFERROR(INDEX(Artículos!$G$2:$G$213,MATCH($A85,Artículos!$A$2:$A$213,0)),""))</f>
        <v/>
      </c>
    </row>
    <row r="86" spans="1:7" x14ac:dyDescent="0.25">
      <c r="A86" s="14"/>
      <c r="B86" s="11" t="str">
        <f>IF($A86="","",IFERROR(INDEX(Artículos!$E$2:$E$213,MATCH($A86,Artículos!$A$2:$A$213,0)),""))</f>
        <v/>
      </c>
      <c r="C86" s="14"/>
      <c r="D86" s="11" t="str">
        <f t="shared" si="4"/>
        <v/>
      </c>
      <c r="E86" s="11" t="str">
        <f t="shared" si="5"/>
        <v/>
      </c>
      <c r="F86" s="14"/>
      <c r="G86" s="11" t="str">
        <f>IF($A86="","",IFERROR(INDEX(Artículos!$G$2:$G$213,MATCH($A86,Artículos!$A$2:$A$213,0)),""))</f>
        <v/>
      </c>
    </row>
    <row r="87" spans="1:7" x14ac:dyDescent="0.25">
      <c r="A87" s="14"/>
      <c r="B87" s="11" t="str">
        <f>IF($A87="","",IFERROR(INDEX(Artículos!$E$2:$E$213,MATCH($A87,Artículos!$A$2:$A$213,0)),""))</f>
        <v/>
      </c>
      <c r="C87" s="14"/>
      <c r="D87" s="11" t="str">
        <f t="shared" si="4"/>
        <v/>
      </c>
      <c r="E87" s="11" t="str">
        <f t="shared" si="5"/>
        <v/>
      </c>
      <c r="F87" s="14"/>
      <c r="G87" s="11" t="str">
        <f>IF($A87="","",IFERROR(INDEX(Artículos!$G$2:$G$213,MATCH($A87,Artículos!$A$2:$A$213,0)),""))</f>
        <v/>
      </c>
    </row>
    <row r="88" spans="1:7" x14ac:dyDescent="0.25">
      <c r="A88" s="14"/>
      <c r="B88" s="11" t="str">
        <f>IF($A88="","",IFERROR(INDEX(Artículos!$E$2:$E$213,MATCH($A88,Artículos!$A$2:$A$213,0)),""))</f>
        <v/>
      </c>
      <c r="C88" s="14"/>
      <c r="D88" s="11" t="str">
        <f t="shared" si="4"/>
        <v/>
      </c>
      <c r="E88" s="11" t="str">
        <f t="shared" si="5"/>
        <v/>
      </c>
      <c r="F88" s="14"/>
      <c r="G88" s="11" t="str">
        <f>IF($A88="","",IFERROR(INDEX(Artículos!$G$2:$G$213,MATCH($A88,Artículos!$A$2:$A$213,0)),""))</f>
        <v/>
      </c>
    </row>
    <row r="89" spans="1:7" x14ac:dyDescent="0.25">
      <c r="A89" s="14"/>
      <c r="B89" s="11" t="str">
        <f>IF($A89="","",IFERROR(INDEX(Artículos!$E$2:$E$213,MATCH($A89,Artículos!$A$2:$A$213,0)),""))</f>
        <v/>
      </c>
      <c r="C89" s="14"/>
      <c r="D89" s="11" t="str">
        <f t="shared" si="4"/>
        <v/>
      </c>
      <c r="E89" s="11" t="str">
        <f t="shared" si="5"/>
        <v/>
      </c>
      <c r="F89" s="14"/>
      <c r="G89" s="11" t="str">
        <f>IF($A89="","",IFERROR(INDEX(Artículos!$G$2:$G$213,MATCH($A89,Artículos!$A$2:$A$213,0)),""))</f>
        <v/>
      </c>
    </row>
    <row r="90" spans="1:7" x14ac:dyDescent="0.25">
      <c r="A90" s="14"/>
      <c r="B90" s="11" t="str">
        <f>IF($A90="","",IFERROR(INDEX(Artículos!$E$2:$E$213,MATCH($A90,Artículos!$A$2:$A$213,0)),""))</f>
        <v/>
      </c>
      <c r="C90" s="14"/>
      <c r="D90" s="11" t="str">
        <f t="shared" si="4"/>
        <v/>
      </c>
      <c r="E90" s="11" t="str">
        <f t="shared" si="5"/>
        <v/>
      </c>
      <c r="F90" s="14"/>
      <c r="G90" s="11" t="str">
        <f>IF($A90="","",IFERROR(INDEX(Artículos!$G$2:$G$213,MATCH($A90,Artículos!$A$2:$A$213,0)),""))</f>
        <v/>
      </c>
    </row>
    <row r="91" spans="1:7" x14ac:dyDescent="0.25">
      <c r="A91" s="14"/>
      <c r="B91" s="11" t="str">
        <f>IF($A91="","",IFERROR(INDEX(Artículos!$E$2:$E$213,MATCH($A91,Artículos!$A$2:$A$213,0)),""))</f>
        <v/>
      </c>
      <c r="C91" s="14"/>
      <c r="D91" s="11" t="str">
        <f t="shared" si="4"/>
        <v/>
      </c>
      <c r="E91" s="11" t="str">
        <f t="shared" si="5"/>
        <v/>
      </c>
      <c r="F91" s="14"/>
      <c r="G91" s="11" t="str">
        <f>IF($A91="","",IFERROR(INDEX(Artículos!$G$2:$G$213,MATCH($A91,Artículos!$A$2:$A$213,0)),""))</f>
        <v/>
      </c>
    </row>
    <row r="92" spans="1:7" x14ac:dyDescent="0.25">
      <c r="A92" s="14"/>
      <c r="B92" s="11" t="str">
        <f>IF($A92="","",IFERROR(INDEX(Artículos!$E$2:$E$213,MATCH($A92,Artículos!$A$2:$A$213,0)),""))</f>
        <v/>
      </c>
      <c r="C92" s="14"/>
      <c r="D92" s="11" t="str">
        <f t="shared" si="4"/>
        <v/>
      </c>
      <c r="E92" s="11" t="str">
        <f t="shared" si="5"/>
        <v/>
      </c>
      <c r="F92" s="14"/>
      <c r="G92" s="11" t="str">
        <f>IF($A92="","",IFERROR(INDEX(Artículos!$G$2:$G$213,MATCH($A92,Artículos!$A$2:$A$213,0)),""))</f>
        <v/>
      </c>
    </row>
    <row r="93" spans="1:7" x14ac:dyDescent="0.25">
      <c r="A93" s="14"/>
      <c r="B93" s="11" t="str">
        <f>IF($A93="","",IFERROR(INDEX(Artículos!$E$2:$E$213,MATCH($A93,Artículos!$A$2:$A$213,0)),""))</f>
        <v/>
      </c>
      <c r="C93" s="14"/>
      <c r="D93" s="11" t="str">
        <f t="shared" si="4"/>
        <v/>
      </c>
      <c r="E93" s="11" t="str">
        <f t="shared" si="5"/>
        <v/>
      </c>
      <c r="F93" s="14"/>
      <c r="G93" s="11" t="str">
        <f>IF($A93="","",IFERROR(INDEX(Artículos!$G$2:$G$213,MATCH($A93,Artículos!$A$2:$A$213,0)),""))</f>
        <v/>
      </c>
    </row>
    <row r="94" spans="1:7" x14ac:dyDescent="0.25">
      <c r="A94" s="14"/>
      <c r="B94" s="11" t="str">
        <f>IF($A94="","",IFERROR(INDEX(Artículos!$E$2:$E$213,MATCH($A94,Artículos!$A$2:$A$213,0)),""))</f>
        <v/>
      </c>
      <c r="C94" s="14"/>
      <c r="D94" s="11" t="str">
        <f t="shared" si="4"/>
        <v/>
      </c>
      <c r="E94" s="11" t="str">
        <f t="shared" si="5"/>
        <v/>
      </c>
      <c r="F94" s="14"/>
      <c r="G94" s="11" t="str">
        <f>IF($A94="","",IFERROR(INDEX(Artículos!$G$2:$G$213,MATCH($A94,Artículos!$A$2:$A$213,0)),""))</f>
        <v/>
      </c>
    </row>
    <row r="95" spans="1:7" x14ac:dyDescent="0.25">
      <c r="A95" s="14"/>
      <c r="B95" s="11" t="str">
        <f>IF($A95="","",IFERROR(INDEX(Artículos!$E$2:$E$213,MATCH($A95,Artículos!$A$2:$A$213,0)),""))</f>
        <v/>
      </c>
      <c r="C95" s="14"/>
      <c r="D95" s="11" t="str">
        <f t="shared" si="4"/>
        <v/>
      </c>
      <c r="E95" s="11" t="str">
        <f t="shared" si="5"/>
        <v/>
      </c>
      <c r="F95" s="14"/>
      <c r="G95" s="11" t="str">
        <f>IF($A95="","",IFERROR(INDEX(Artículos!$G$2:$G$213,MATCH($A95,Artículos!$A$2:$A$213,0)),""))</f>
        <v/>
      </c>
    </row>
    <row r="96" spans="1:7" x14ac:dyDescent="0.25">
      <c r="A96" s="14"/>
      <c r="B96" s="11" t="str">
        <f>IF($A96="","",IFERROR(INDEX(Artículos!$E$2:$E$213,MATCH($A96,Artículos!$A$2:$A$213,0)),""))</f>
        <v/>
      </c>
      <c r="C96" s="14"/>
      <c r="D96" s="11" t="str">
        <f t="shared" si="4"/>
        <v/>
      </c>
      <c r="E96" s="11" t="str">
        <f t="shared" si="5"/>
        <v/>
      </c>
      <c r="F96" s="14"/>
      <c r="G96" s="11" t="str">
        <f>IF($A96="","",IFERROR(INDEX(Artículos!$G$2:$G$213,MATCH($A96,Artículos!$A$2:$A$213,0)),""))</f>
        <v/>
      </c>
    </row>
    <row r="97" spans="1:7" x14ac:dyDescent="0.25">
      <c r="A97" s="14"/>
      <c r="B97" s="11" t="str">
        <f>IF($A97="","",IFERROR(INDEX(Artículos!$E$2:$E$213,MATCH($A97,Artículos!$A$2:$A$213,0)),""))</f>
        <v/>
      </c>
      <c r="C97" s="14"/>
      <c r="D97" s="11" t="str">
        <f t="shared" si="4"/>
        <v/>
      </c>
      <c r="E97" s="11" t="str">
        <f t="shared" si="5"/>
        <v/>
      </c>
      <c r="F97" s="14"/>
      <c r="G97" s="11" t="str">
        <f>IF($A97="","",IFERROR(INDEX(Artículos!$G$2:$G$213,MATCH($A97,Artículos!$A$2:$A$213,0)),""))</f>
        <v/>
      </c>
    </row>
    <row r="98" spans="1:7" x14ac:dyDescent="0.25">
      <c r="A98" s="14"/>
      <c r="B98" s="11" t="str">
        <f>IF($A98="","",IFERROR(INDEX(Artículos!$E$2:$E$213,MATCH($A98,Artículos!$A$2:$A$213,0)),""))</f>
        <v/>
      </c>
      <c r="C98" s="14"/>
      <c r="D98" s="11" t="str">
        <f t="shared" si="4"/>
        <v/>
      </c>
      <c r="E98" s="11" t="str">
        <f t="shared" si="5"/>
        <v/>
      </c>
      <c r="F98" s="14"/>
      <c r="G98" s="11" t="str">
        <f>IF($A98="","",IFERROR(INDEX(Artículos!$G$2:$G$213,MATCH($A98,Artículos!$A$2:$A$213,0)),""))</f>
        <v/>
      </c>
    </row>
    <row r="99" spans="1:7" x14ac:dyDescent="0.25">
      <c r="A99" s="14"/>
      <c r="B99" s="11" t="str">
        <f>IF($A99="","",IFERROR(INDEX(Artículos!$E$2:$E$213,MATCH($A99,Artículos!$A$2:$A$213,0)),""))</f>
        <v/>
      </c>
      <c r="C99" s="14"/>
      <c r="D99" s="11" t="str">
        <f t="shared" ref="D99:D122" si="6">IF($C99="","",IFERROR(INDEX(ALM_NOM,MATCH($C99,ALM_COD,0)),""))</f>
        <v/>
      </c>
      <c r="E99" s="11" t="str">
        <f t="shared" ref="E99:E122" si="7">IF($C99="","",IFERROR(INDEX(ALM_SEDE,MATCH($C99,ALM_COD,0)),""))</f>
        <v/>
      </c>
      <c r="F99" s="14"/>
      <c r="G99" s="11" t="str">
        <f>IF($A99="","",IFERROR(INDEX(Artículos!$G$2:$G$213,MATCH($A99,Artículos!$A$2:$A$213,0)),""))</f>
        <v/>
      </c>
    </row>
    <row r="100" spans="1:7" x14ac:dyDescent="0.25">
      <c r="A100" s="14"/>
      <c r="B100" s="11" t="str">
        <f>IF($A100="","",IFERROR(INDEX(Artículos!$E$2:$E$213,MATCH($A100,Artículos!$A$2:$A$213,0)),""))</f>
        <v/>
      </c>
      <c r="C100" s="14"/>
      <c r="D100" s="11" t="str">
        <f t="shared" si="6"/>
        <v/>
      </c>
      <c r="E100" s="11" t="str">
        <f t="shared" si="7"/>
        <v/>
      </c>
      <c r="F100" s="14"/>
      <c r="G100" s="11" t="str">
        <f>IF($A100="","",IFERROR(INDEX(Artículos!$G$2:$G$213,MATCH($A100,Artículos!$A$2:$A$213,0)),""))</f>
        <v/>
      </c>
    </row>
    <row r="101" spans="1:7" x14ac:dyDescent="0.25">
      <c r="A101" s="14"/>
      <c r="B101" s="11" t="str">
        <f>IF($A101="","",IFERROR(INDEX(Artículos!$E$2:$E$213,MATCH($A101,Artículos!$A$2:$A$213,0)),""))</f>
        <v/>
      </c>
      <c r="C101" s="14"/>
      <c r="D101" s="11" t="str">
        <f t="shared" si="6"/>
        <v/>
      </c>
      <c r="E101" s="11" t="str">
        <f t="shared" si="7"/>
        <v/>
      </c>
      <c r="F101" s="14"/>
      <c r="G101" s="11" t="str">
        <f>IF($A101="","",IFERROR(INDEX(Artículos!$G$2:$G$213,MATCH($A101,Artículos!$A$2:$A$213,0)),""))</f>
        <v/>
      </c>
    </row>
    <row r="102" spans="1:7" x14ac:dyDescent="0.25">
      <c r="A102" s="14"/>
      <c r="B102" s="11" t="str">
        <f>IF($A102="","",IFERROR(INDEX(Artículos!$E$2:$E$213,MATCH($A102,Artículos!$A$2:$A$213,0)),""))</f>
        <v/>
      </c>
      <c r="C102" s="14"/>
      <c r="D102" s="11" t="str">
        <f t="shared" si="6"/>
        <v/>
      </c>
      <c r="E102" s="11" t="str">
        <f t="shared" si="7"/>
        <v/>
      </c>
      <c r="F102" s="14"/>
      <c r="G102" s="11" t="str">
        <f>IF($A102="","",IFERROR(INDEX(Artículos!$G$2:$G$213,MATCH($A102,Artículos!$A$2:$A$213,0)),""))</f>
        <v/>
      </c>
    </row>
    <row r="103" spans="1:7" x14ac:dyDescent="0.25">
      <c r="A103" s="14"/>
      <c r="B103" s="11" t="str">
        <f>IF($A103="","",IFERROR(INDEX(Artículos!$E$2:$E$213,MATCH($A103,Artículos!$A$2:$A$213,0)),""))</f>
        <v/>
      </c>
      <c r="C103" s="14"/>
      <c r="D103" s="11" t="str">
        <f t="shared" si="6"/>
        <v/>
      </c>
      <c r="E103" s="11" t="str">
        <f t="shared" si="7"/>
        <v/>
      </c>
      <c r="F103" s="14"/>
      <c r="G103" s="11" t="str">
        <f>IF($A103="","",IFERROR(INDEX(Artículos!$G$2:$G$213,MATCH($A103,Artículos!$A$2:$A$213,0)),""))</f>
        <v/>
      </c>
    </row>
    <row r="104" spans="1:7" x14ac:dyDescent="0.25">
      <c r="A104" s="14"/>
      <c r="B104" s="11" t="str">
        <f>IF($A104="","",IFERROR(INDEX(Artículos!$E$2:$E$213,MATCH($A104,Artículos!$A$2:$A$213,0)),""))</f>
        <v/>
      </c>
      <c r="C104" s="14"/>
      <c r="D104" s="11" t="str">
        <f t="shared" si="6"/>
        <v/>
      </c>
      <c r="E104" s="11" t="str">
        <f t="shared" si="7"/>
        <v/>
      </c>
      <c r="F104" s="14"/>
      <c r="G104" s="11" t="str">
        <f>IF($A104="","",IFERROR(INDEX(Artículos!$G$2:$G$213,MATCH($A104,Artículos!$A$2:$A$213,0)),""))</f>
        <v/>
      </c>
    </row>
    <row r="105" spans="1:7" x14ac:dyDescent="0.25">
      <c r="A105" s="14"/>
      <c r="B105" s="11" t="str">
        <f>IF($A105="","",IFERROR(INDEX(Artículos!$E$2:$E$213,MATCH($A105,Artículos!$A$2:$A$213,0)),""))</f>
        <v/>
      </c>
      <c r="C105" s="14"/>
      <c r="D105" s="11" t="str">
        <f t="shared" si="6"/>
        <v/>
      </c>
      <c r="E105" s="11" t="str">
        <f t="shared" si="7"/>
        <v/>
      </c>
      <c r="F105" s="14"/>
      <c r="G105" s="11" t="str">
        <f>IF($A105="","",IFERROR(INDEX(Artículos!$G$2:$G$213,MATCH($A105,Artículos!$A$2:$A$213,0)),""))</f>
        <v/>
      </c>
    </row>
    <row r="106" spans="1:7" x14ac:dyDescent="0.25">
      <c r="A106" s="14"/>
      <c r="B106" s="11" t="str">
        <f>IF($A106="","",IFERROR(INDEX(Artículos!$E$2:$E$213,MATCH($A106,Artículos!$A$2:$A$213,0)),""))</f>
        <v/>
      </c>
      <c r="C106" s="14"/>
      <c r="D106" s="11" t="str">
        <f t="shared" si="6"/>
        <v/>
      </c>
      <c r="E106" s="11" t="str">
        <f t="shared" si="7"/>
        <v/>
      </c>
      <c r="F106" s="14"/>
      <c r="G106" s="11" t="str">
        <f>IF($A106="","",IFERROR(INDEX(Artículos!$G$2:$G$213,MATCH($A106,Artículos!$A$2:$A$213,0)),""))</f>
        <v/>
      </c>
    </row>
    <row r="107" spans="1:7" x14ac:dyDescent="0.25">
      <c r="A107" s="14"/>
      <c r="B107" s="11" t="str">
        <f>IF($A107="","",IFERROR(INDEX(Artículos!$E$2:$E$213,MATCH($A107,Artículos!$A$2:$A$213,0)),""))</f>
        <v/>
      </c>
      <c r="C107" s="14"/>
      <c r="D107" s="11" t="str">
        <f t="shared" si="6"/>
        <v/>
      </c>
      <c r="E107" s="11" t="str">
        <f t="shared" si="7"/>
        <v/>
      </c>
      <c r="F107" s="14"/>
      <c r="G107" s="11" t="str">
        <f>IF($A107="","",IFERROR(INDEX(Artículos!$G$2:$G$213,MATCH($A107,Artículos!$A$2:$A$213,0)),""))</f>
        <v/>
      </c>
    </row>
    <row r="108" spans="1:7" x14ac:dyDescent="0.25">
      <c r="A108" s="14"/>
      <c r="B108" s="11" t="str">
        <f>IF($A108="","",IFERROR(INDEX(Artículos!$E$2:$E$213,MATCH($A108,Artículos!$A$2:$A$213,0)),""))</f>
        <v/>
      </c>
      <c r="C108" s="14"/>
      <c r="D108" s="11" t="str">
        <f t="shared" si="6"/>
        <v/>
      </c>
      <c r="E108" s="11" t="str">
        <f t="shared" si="7"/>
        <v/>
      </c>
      <c r="F108" s="14"/>
      <c r="G108" s="11" t="str">
        <f>IF($A108="","",IFERROR(INDEX(Artículos!$G$2:$G$213,MATCH($A108,Artículos!$A$2:$A$213,0)),""))</f>
        <v/>
      </c>
    </row>
    <row r="109" spans="1:7" x14ac:dyDescent="0.25">
      <c r="A109" s="14"/>
      <c r="B109" s="11" t="str">
        <f>IF($A109="","",IFERROR(INDEX(Artículos!$E$2:$E$213,MATCH($A109,Artículos!$A$2:$A$213,0)),""))</f>
        <v/>
      </c>
      <c r="C109" s="14"/>
      <c r="D109" s="11" t="str">
        <f t="shared" si="6"/>
        <v/>
      </c>
      <c r="E109" s="11" t="str">
        <f t="shared" si="7"/>
        <v/>
      </c>
      <c r="F109" s="14"/>
      <c r="G109" s="11" t="str">
        <f>IF($A109="","",IFERROR(INDEX(Artículos!$G$2:$G$213,MATCH($A109,Artículos!$A$2:$A$213,0)),""))</f>
        <v/>
      </c>
    </row>
    <row r="110" spans="1:7" x14ac:dyDescent="0.25">
      <c r="A110" s="14"/>
      <c r="B110" s="11" t="str">
        <f>IF($A110="","",IFERROR(INDEX(Artículos!$E$2:$E$213,MATCH($A110,Artículos!$A$2:$A$213,0)),""))</f>
        <v/>
      </c>
      <c r="C110" s="14"/>
      <c r="D110" s="11" t="str">
        <f t="shared" si="6"/>
        <v/>
      </c>
      <c r="E110" s="11" t="str">
        <f t="shared" si="7"/>
        <v/>
      </c>
      <c r="F110" s="14"/>
      <c r="G110" s="11" t="str">
        <f>IF($A110="","",IFERROR(INDEX(Artículos!$G$2:$G$213,MATCH($A110,Artículos!$A$2:$A$213,0)),""))</f>
        <v/>
      </c>
    </row>
    <row r="111" spans="1:7" x14ac:dyDescent="0.25">
      <c r="A111" s="14"/>
      <c r="B111" s="11" t="str">
        <f>IF($A111="","",IFERROR(INDEX(Artículos!$E$2:$E$213,MATCH($A111,Artículos!$A$2:$A$213,0)),""))</f>
        <v/>
      </c>
      <c r="C111" s="14"/>
      <c r="D111" s="11" t="str">
        <f t="shared" si="6"/>
        <v/>
      </c>
      <c r="E111" s="11" t="str">
        <f t="shared" si="7"/>
        <v/>
      </c>
      <c r="F111" s="14"/>
      <c r="G111" s="11" t="str">
        <f>IF($A111="","",IFERROR(INDEX(Artículos!$G$2:$G$213,MATCH($A111,Artículos!$A$2:$A$213,0)),""))</f>
        <v/>
      </c>
    </row>
    <row r="112" spans="1:7" x14ac:dyDescent="0.25">
      <c r="A112" s="14"/>
      <c r="B112" s="11" t="str">
        <f>IF($A112="","",IFERROR(INDEX(Artículos!$E$2:$E$213,MATCH($A112,Artículos!$A$2:$A$213,0)),""))</f>
        <v/>
      </c>
      <c r="C112" s="14"/>
      <c r="D112" s="11" t="str">
        <f t="shared" si="6"/>
        <v/>
      </c>
      <c r="E112" s="11" t="str">
        <f t="shared" si="7"/>
        <v/>
      </c>
      <c r="F112" s="14"/>
      <c r="G112" s="11" t="str">
        <f>IF($A112="","",IFERROR(INDEX(Artículos!$G$2:$G$213,MATCH($A112,Artículos!$A$2:$A$213,0)),""))</f>
        <v/>
      </c>
    </row>
    <row r="113" spans="1:7" x14ac:dyDescent="0.25">
      <c r="A113" s="14"/>
      <c r="B113" s="11" t="str">
        <f>IF($A113="","",IFERROR(INDEX(Artículos!$E$2:$E$213,MATCH($A113,Artículos!$A$2:$A$213,0)),""))</f>
        <v/>
      </c>
      <c r="C113" s="14"/>
      <c r="D113" s="11" t="str">
        <f t="shared" si="6"/>
        <v/>
      </c>
      <c r="E113" s="11" t="str">
        <f t="shared" si="7"/>
        <v/>
      </c>
      <c r="F113" s="14"/>
      <c r="G113" s="11" t="str">
        <f>IF($A113="","",IFERROR(INDEX(Artículos!$G$2:$G$213,MATCH($A113,Artículos!$A$2:$A$213,0)),""))</f>
        <v/>
      </c>
    </row>
    <row r="114" spans="1:7" x14ac:dyDescent="0.25">
      <c r="A114" s="14"/>
      <c r="B114" s="11" t="str">
        <f>IF($A114="","",IFERROR(INDEX(Artículos!$E$2:$E$213,MATCH($A114,Artículos!$A$2:$A$213,0)),""))</f>
        <v/>
      </c>
      <c r="C114" s="14"/>
      <c r="D114" s="11" t="str">
        <f t="shared" si="6"/>
        <v/>
      </c>
      <c r="E114" s="11" t="str">
        <f t="shared" si="7"/>
        <v/>
      </c>
      <c r="F114" s="14"/>
      <c r="G114" s="11" t="str">
        <f>IF($A114="","",IFERROR(INDEX(Artículos!$G$2:$G$213,MATCH($A114,Artículos!$A$2:$A$213,0)),""))</f>
        <v/>
      </c>
    </row>
    <row r="115" spans="1:7" x14ac:dyDescent="0.25">
      <c r="A115" s="14"/>
      <c r="B115" s="11" t="str">
        <f>IF($A115="","",IFERROR(INDEX(Artículos!$E$2:$E$213,MATCH($A115,Artículos!$A$2:$A$213,0)),""))</f>
        <v/>
      </c>
      <c r="C115" s="14"/>
      <c r="D115" s="11" t="str">
        <f t="shared" si="6"/>
        <v/>
      </c>
      <c r="E115" s="11" t="str">
        <f t="shared" si="7"/>
        <v/>
      </c>
      <c r="F115" s="14"/>
      <c r="G115" s="11" t="str">
        <f>IF($A115="","",IFERROR(INDEX(Artículos!$G$2:$G$213,MATCH($A115,Artículos!$A$2:$A$213,0)),""))</f>
        <v/>
      </c>
    </row>
    <row r="116" spans="1:7" x14ac:dyDescent="0.25">
      <c r="A116" s="14"/>
      <c r="B116" s="11" t="str">
        <f>IF($A116="","",IFERROR(INDEX(Artículos!$E$2:$E$213,MATCH($A116,Artículos!$A$2:$A$213,0)),""))</f>
        <v/>
      </c>
      <c r="C116" s="14"/>
      <c r="D116" s="11" t="str">
        <f t="shared" si="6"/>
        <v/>
      </c>
      <c r="E116" s="11" t="str">
        <f t="shared" si="7"/>
        <v/>
      </c>
      <c r="F116" s="14"/>
      <c r="G116" s="11" t="str">
        <f>IF($A116="","",IFERROR(INDEX(Artículos!$G$2:$G$213,MATCH($A116,Artículos!$A$2:$A$213,0)),""))</f>
        <v/>
      </c>
    </row>
    <row r="117" spans="1:7" x14ac:dyDescent="0.25">
      <c r="A117" s="14"/>
      <c r="B117" s="11" t="str">
        <f>IF($A117="","",IFERROR(INDEX(Artículos!$E$2:$E$213,MATCH($A117,Artículos!$A$2:$A$213,0)),""))</f>
        <v/>
      </c>
      <c r="C117" s="14"/>
      <c r="D117" s="11" t="str">
        <f t="shared" si="6"/>
        <v/>
      </c>
      <c r="E117" s="11" t="str">
        <f t="shared" si="7"/>
        <v/>
      </c>
      <c r="F117" s="14"/>
      <c r="G117" s="11" t="str">
        <f>IF($A117="","",IFERROR(INDEX(Artículos!$G$2:$G$213,MATCH($A117,Artículos!$A$2:$A$213,0)),""))</f>
        <v/>
      </c>
    </row>
    <row r="118" spans="1:7" x14ac:dyDescent="0.25">
      <c r="A118" s="14"/>
      <c r="B118" s="11" t="str">
        <f>IF($A118="","",IFERROR(INDEX(Artículos!$E$2:$E$213,MATCH($A118,Artículos!$A$2:$A$213,0)),""))</f>
        <v/>
      </c>
      <c r="C118" s="14"/>
      <c r="D118" s="11" t="str">
        <f t="shared" si="6"/>
        <v/>
      </c>
      <c r="E118" s="11" t="str">
        <f t="shared" si="7"/>
        <v/>
      </c>
      <c r="F118" s="14"/>
      <c r="G118" s="11" t="str">
        <f>IF($A118="","",IFERROR(INDEX(Artículos!$G$2:$G$213,MATCH($A118,Artículos!$A$2:$A$213,0)),""))</f>
        <v/>
      </c>
    </row>
    <row r="119" spans="1:7" x14ac:dyDescent="0.25">
      <c r="A119" s="14"/>
      <c r="B119" s="11" t="str">
        <f>IF($A119="","",IFERROR(INDEX(Artículos!$E$2:$E$213,MATCH($A119,Artículos!$A$2:$A$213,0)),""))</f>
        <v/>
      </c>
      <c r="C119" s="14"/>
      <c r="D119" s="11" t="str">
        <f t="shared" si="6"/>
        <v/>
      </c>
      <c r="E119" s="11" t="str">
        <f t="shared" si="7"/>
        <v/>
      </c>
      <c r="F119" s="14"/>
      <c r="G119" s="11" t="str">
        <f>IF($A119="","",IFERROR(INDEX(Artículos!$G$2:$G$213,MATCH($A119,Artículos!$A$2:$A$213,0)),""))</f>
        <v/>
      </c>
    </row>
    <row r="120" spans="1:7" x14ac:dyDescent="0.25">
      <c r="A120" s="14"/>
      <c r="B120" s="11" t="str">
        <f>IF($A120="","",IFERROR(INDEX(Artículos!$E$2:$E$213,MATCH($A120,Artículos!$A$2:$A$213,0)),""))</f>
        <v/>
      </c>
      <c r="C120" s="14"/>
      <c r="D120" s="11" t="str">
        <f t="shared" si="6"/>
        <v/>
      </c>
      <c r="E120" s="11" t="str">
        <f t="shared" si="7"/>
        <v/>
      </c>
      <c r="F120" s="14"/>
      <c r="G120" s="11" t="str">
        <f>IF($A120="","",IFERROR(INDEX(Artículos!$G$2:$G$213,MATCH($A120,Artículos!$A$2:$A$213,0)),""))</f>
        <v/>
      </c>
    </row>
    <row r="121" spans="1:7" x14ac:dyDescent="0.25">
      <c r="A121" s="14"/>
      <c r="B121" s="11" t="str">
        <f>IF($A121="","",IFERROR(INDEX(Artículos!$E$2:$E$213,MATCH($A121,Artículos!$A$2:$A$213,0)),""))</f>
        <v/>
      </c>
      <c r="C121" s="14"/>
      <c r="D121" s="11" t="str">
        <f t="shared" si="6"/>
        <v/>
      </c>
      <c r="E121" s="11" t="str">
        <f t="shared" si="7"/>
        <v/>
      </c>
      <c r="F121" s="14"/>
      <c r="G121" s="11" t="str">
        <f>IF($A121="","",IFERROR(INDEX(Artículos!$G$2:$G$213,MATCH($A121,Artículos!$A$2:$A$213,0)),""))</f>
        <v/>
      </c>
    </row>
    <row r="122" spans="1:7" x14ac:dyDescent="0.25">
      <c r="A122" s="14"/>
      <c r="B122" s="11" t="str">
        <f>IF($A122="","",IFERROR(INDEX(Artículos!$E$2:$E$213,MATCH($A122,Artículos!$A$2:$A$213,0)),""))</f>
        <v/>
      </c>
      <c r="C122" s="14"/>
      <c r="D122" s="11" t="str">
        <f t="shared" si="6"/>
        <v/>
      </c>
      <c r="E122" s="11" t="str">
        <f t="shared" si="7"/>
        <v/>
      </c>
      <c r="F122" s="14"/>
      <c r="G122" s="11" t="str">
        <f>IF($A122="","",IFERROR(INDEX(Artículos!$G$2:$G$213,MATCH($A122,Artículos!$A$2:$A$213,0)),""))</f>
        <v/>
      </c>
    </row>
  </sheetData>
  <mergeCells count="1">
    <mergeCell ref="A1:G1"/>
  </mergeCells>
  <dataValidations count="2">
    <dataValidation type="list" allowBlank="1" showErrorMessage="1" errorTitle="Código no válido" error="Solo códigos ya generados en la hoja Artículos." sqref="A3:A122" xr:uid="{00000000-0002-0000-0400-000000000000}">
      <formula1>LST_CODIGOS</formula1>
      <formula2>0</formula2>
    </dataValidation>
    <dataValidation type="list" allowBlank="1" showErrorMessage="1" errorTitle="Código no válido" error="Solo códigos ya generados en la hoja Artículos." sqref="C3:C122" xr:uid="{00000000-0002-0000-0400-000001000000}">
      <formula1>INDIRECT("TALM[CODIGO]")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2"/>
  <sheetViews>
    <sheetView showGridLines="0" zoomScaleNormal="100" workbookViewId="0">
      <pane ySplit="2" topLeftCell="A3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8" customWidth="1"/>
    <col min="2" max="2" width="30" customWidth="1"/>
    <col min="3" max="4" width="20" customWidth="1"/>
    <col min="5" max="5" width="28" customWidth="1"/>
  </cols>
  <sheetData>
    <row r="1" spans="1:5" x14ac:dyDescent="0.25">
      <c r="A1" s="23"/>
      <c r="B1" s="23"/>
      <c r="C1" s="23"/>
      <c r="D1" s="23"/>
      <c r="E1" s="23"/>
    </row>
    <row r="2" spans="1:5" ht="25.5" customHeight="1" x14ac:dyDescent="0.25">
      <c r="A2" s="10" t="s">
        <v>201</v>
      </c>
      <c r="B2" s="8" t="s">
        <v>202</v>
      </c>
      <c r="C2" s="10" t="s">
        <v>210</v>
      </c>
      <c r="D2" s="10" t="s">
        <v>211</v>
      </c>
      <c r="E2" s="9" t="s">
        <v>212</v>
      </c>
    </row>
    <row r="3" spans="1:5" x14ac:dyDescent="0.25">
      <c r="A3" s="14"/>
      <c r="B3" s="11" t="str">
        <f>IF($A3="","",IFERROR(INDEX(Artículos!$E$2:$E$213,MATCH($A3,Artículos!$A$2:$A$213,0)),""))</f>
        <v/>
      </c>
      <c r="C3" s="14"/>
      <c r="D3" s="14"/>
      <c r="E3" s="14"/>
    </row>
    <row r="4" spans="1:5" x14ac:dyDescent="0.25">
      <c r="A4" s="14"/>
      <c r="B4" s="11" t="str">
        <f>IF($A4="","",IFERROR(INDEX(Artículos!$E$2:$E$213,MATCH($A4,Artículos!$A$2:$A$213,0)),""))</f>
        <v/>
      </c>
      <c r="C4" s="14"/>
      <c r="D4" s="14"/>
      <c r="E4" s="14"/>
    </row>
    <row r="5" spans="1:5" x14ac:dyDescent="0.25">
      <c r="A5" s="14"/>
      <c r="B5" s="11" t="str">
        <f>IF($A5="","",IFERROR(INDEX(Artículos!$E$2:$E$213,MATCH($A5,Artículos!$A$2:$A$213,0)),""))</f>
        <v/>
      </c>
      <c r="C5" s="14"/>
      <c r="D5" s="14"/>
      <c r="E5" s="14"/>
    </row>
    <row r="6" spans="1:5" x14ac:dyDescent="0.25">
      <c r="A6" s="14"/>
      <c r="B6" s="11" t="str">
        <f>IF($A6="","",IFERROR(INDEX(Artículos!$E$2:$E$213,MATCH($A6,Artículos!$A$2:$A$213,0)),""))</f>
        <v/>
      </c>
      <c r="C6" s="14"/>
      <c r="D6" s="14"/>
      <c r="E6" s="14"/>
    </row>
    <row r="7" spans="1:5" x14ac:dyDescent="0.25">
      <c r="A7" s="14"/>
      <c r="B7" s="11" t="str">
        <f>IF($A7="","",IFERROR(INDEX(Artículos!$E$2:$E$213,MATCH($A7,Artículos!$A$2:$A$213,0)),""))</f>
        <v/>
      </c>
      <c r="C7" s="14"/>
      <c r="D7" s="14"/>
      <c r="E7" s="14"/>
    </row>
    <row r="8" spans="1:5" x14ac:dyDescent="0.25">
      <c r="A8" s="14"/>
      <c r="B8" s="11" t="str">
        <f>IF($A8="","",IFERROR(INDEX(Artículos!$E$2:$E$213,MATCH($A8,Artículos!$A$2:$A$213,0)),""))</f>
        <v/>
      </c>
      <c r="C8" s="14"/>
      <c r="D8" s="14"/>
      <c r="E8" s="14"/>
    </row>
    <row r="9" spans="1:5" x14ac:dyDescent="0.25">
      <c r="A9" s="14"/>
      <c r="B9" s="11" t="str">
        <f>IF($A9="","",IFERROR(INDEX(Artículos!$E$2:$E$213,MATCH($A9,Artículos!$A$2:$A$213,0)),""))</f>
        <v/>
      </c>
      <c r="C9" s="14"/>
      <c r="D9" s="14"/>
      <c r="E9" s="14"/>
    </row>
    <row r="10" spans="1:5" x14ac:dyDescent="0.25">
      <c r="A10" s="14"/>
      <c r="B10" s="11" t="str">
        <f>IF($A10="","",IFERROR(INDEX(Artículos!$E$2:$E$213,MATCH($A10,Artículos!$A$2:$A$213,0)),""))</f>
        <v/>
      </c>
      <c r="C10" s="14"/>
      <c r="D10" s="14"/>
      <c r="E10" s="14"/>
    </row>
    <row r="11" spans="1:5" x14ac:dyDescent="0.25">
      <c r="A11" s="14"/>
      <c r="B11" s="11" t="str">
        <f>IF($A11="","",IFERROR(INDEX(Artículos!$E$2:$E$213,MATCH($A11,Artículos!$A$2:$A$213,0)),""))</f>
        <v/>
      </c>
      <c r="C11" s="14"/>
      <c r="D11" s="14"/>
      <c r="E11" s="14"/>
    </row>
    <row r="12" spans="1:5" x14ac:dyDescent="0.25">
      <c r="A12" s="14"/>
      <c r="B12" s="11" t="str">
        <f>IF($A12="","",IFERROR(INDEX(Artículos!$E$2:$E$213,MATCH($A12,Artículos!$A$2:$A$213,0)),""))</f>
        <v/>
      </c>
      <c r="C12" s="14"/>
      <c r="D12" s="14"/>
      <c r="E12" s="14"/>
    </row>
    <row r="13" spans="1:5" x14ac:dyDescent="0.25">
      <c r="A13" s="14"/>
      <c r="B13" s="11" t="str">
        <f>IF($A13="","",IFERROR(INDEX(Artículos!$E$2:$E$213,MATCH($A13,Artículos!$A$2:$A$213,0)),""))</f>
        <v/>
      </c>
      <c r="C13" s="14"/>
      <c r="D13" s="14"/>
      <c r="E13" s="14"/>
    </row>
    <row r="14" spans="1:5" x14ac:dyDescent="0.25">
      <c r="A14" s="14"/>
      <c r="B14" s="11" t="str">
        <f>IF($A14="","",IFERROR(INDEX(Artículos!$E$2:$E$213,MATCH($A14,Artículos!$A$2:$A$213,0)),""))</f>
        <v/>
      </c>
      <c r="C14" s="14"/>
      <c r="D14" s="14"/>
      <c r="E14" s="14"/>
    </row>
    <row r="15" spans="1:5" x14ac:dyDescent="0.25">
      <c r="A15" s="14"/>
      <c r="B15" s="11" t="str">
        <f>IF($A15="","",IFERROR(INDEX(Artículos!$E$2:$E$213,MATCH($A15,Artículos!$A$2:$A$213,0)),""))</f>
        <v/>
      </c>
      <c r="C15" s="14"/>
      <c r="D15" s="14"/>
      <c r="E15" s="14"/>
    </row>
    <row r="16" spans="1:5" x14ac:dyDescent="0.25">
      <c r="A16" s="14"/>
      <c r="B16" s="11" t="str">
        <f>IF($A16="","",IFERROR(INDEX(Artículos!$E$2:$E$213,MATCH($A16,Artículos!$A$2:$A$213,0)),""))</f>
        <v/>
      </c>
      <c r="C16" s="14"/>
      <c r="D16" s="14"/>
      <c r="E16" s="14"/>
    </row>
    <row r="17" spans="1:5" x14ac:dyDescent="0.25">
      <c r="A17" s="14"/>
      <c r="B17" s="11" t="str">
        <f>IF($A17="","",IFERROR(INDEX(Artículos!$E$2:$E$213,MATCH($A17,Artículos!$A$2:$A$213,0)),""))</f>
        <v/>
      </c>
      <c r="C17" s="14"/>
      <c r="D17" s="14"/>
      <c r="E17" s="14"/>
    </row>
    <row r="18" spans="1:5" x14ac:dyDescent="0.25">
      <c r="A18" s="14"/>
      <c r="B18" s="11" t="str">
        <f>IF($A18="","",IFERROR(INDEX(Artículos!$E$2:$E$213,MATCH($A18,Artículos!$A$2:$A$213,0)),""))</f>
        <v/>
      </c>
      <c r="C18" s="14"/>
      <c r="D18" s="14"/>
      <c r="E18" s="14"/>
    </row>
    <row r="19" spans="1:5" x14ac:dyDescent="0.25">
      <c r="A19" s="14"/>
      <c r="B19" s="11" t="str">
        <f>IF($A19="","",IFERROR(INDEX(Artículos!$E$2:$E$213,MATCH($A19,Artículos!$A$2:$A$213,0)),""))</f>
        <v/>
      </c>
      <c r="C19" s="14"/>
      <c r="D19" s="14"/>
      <c r="E19" s="14"/>
    </row>
    <row r="20" spans="1:5" x14ac:dyDescent="0.25">
      <c r="A20" s="14"/>
      <c r="B20" s="11" t="str">
        <f>IF($A20="","",IFERROR(INDEX(Artículos!$E$2:$E$213,MATCH($A20,Artículos!$A$2:$A$213,0)),""))</f>
        <v/>
      </c>
      <c r="C20" s="14"/>
      <c r="D20" s="14"/>
      <c r="E20" s="14"/>
    </row>
    <row r="21" spans="1:5" x14ac:dyDescent="0.25">
      <c r="A21" s="14"/>
      <c r="B21" s="11" t="str">
        <f>IF($A21="","",IFERROR(INDEX(Artículos!$E$2:$E$213,MATCH($A21,Artículos!$A$2:$A$213,0)),""))</f>
        <v/>
      </c>
      <c r="C21" s="14"/>
      <c r="D21" s="14"/>
      <c r="E21" s="14"/>
    </row>
    <row r="22" spans="1:5" x14ac:dyDescent="0.25">
      <c r="A22" s="14"/>
      <c r="B22" s="11" t="str">
        <f>IF($A22="","",IFERROR(INDEX(Artículos!$E$2:$E$213,MATCH($A22,Artículos!$A$2:$A$213,0)),""))</f>
        <v/>
      </c>
      <c r="C22" s="14"/>
      <c r="D22" s="14"/>
      <c r="E22" s="14"/>
    </row>
    <row r="23" spans="1:5" x14ac:dyDescent="0.25">
      <c r="A23" s="14"/>
      <c r="B23" s="11" t="str">
        <f>IF($A23="","",IFERROR(INDEX(Artículos!$E$2:$E$213,MATCH($A23,Artículos!$A$2:$A$213,0)),""))</f>
        <v/>
      </c>
      <c r="C23" s="14"/>
      <c r="D23" s="14"/>
      <c r="E23" s="14"/>
    </row>
    <row r="24" spans="1:5" x14ac:dyDescent="0.25">
      <c r="A24" s="14"/>
      <c r="B24" s="11" t="str">
        <f>IF($A24="","",IFERROR(INDEX(Artículos!$E$2:$E$213,MATCH($A24,Artículos!$A$2:$A$213,0)),""))</f>
        <v/>
      </c>
      <c r="C24" s="14"/>
      <c r="D24" s="14"/>
      <c r="E24" s="14"/>
    </row>
    <row r="25" spans="1:5" x14ac:dyDescent="0.25">
      <c r="A25" s="14"/>
      <c r="B25" s="11" t="str">
        <f>IF($A25="","",IFERROR(INDEX(Artículos!$E$2:$E$213,MATCH($A25,Artículos!$A$2:$A$213,0)),""))</f>
        <v/>
      </c>
      <c r="C25" s="14"/>
      <c r="D25" s="14"/>
      <c r="E25" s="14"/>
    </row>
    <row r="26" spans="1:5" x14ac:dyDescent="0.25">
      <c r="A26" s="14"/>
      <c r="B26" s="11" t="str">
        <f>IF($A26="","",IFERROR(INDEX(Artículos!$E$2:$E$213,MATCH($A26,Artículos!$A$2:$A$213,0)),""))</f>
        <v/>
      </c>
      <c r="C26" s="14"/>
      <c r="D26" s="14"/>
      <c r="E26" s="14"/>
    </row>
    <row r="27" spans="1:5" x14ac:dyDescent="0.25">
      <c r="A27" s="14"/>
      <c r="B27" s="11" t="str">
        <f>IF($A27="","",IFERROR(INDEX(Artículos!$E$2:$E$213,MATCH($A27,Artículos!$A$2:$A$213,0)),""))</f>
        <v/>
      </c>
      <c r="C27" s="14"/>
      <c r="D27" s="14"/>
      <c r="E27" s="14"/>
    </row>
    <row r="28" spans="1:5" x14ac:dyDescent="0.25">
      <c r="A28" s="14"/>
      <c r="B28" s="11" t="str">
        <f>IF($A28="","",IFERROR(INDEX(Artículos!$E$2:$E$213,MATCH($A28,Artículos!$A$2:$A$213,0)),""))</f>
        <v/>
      </c>
      <c r="C28" s="14"/>
      <c r="D28" s="14"/>
      <c r="E28" s="14"/>
    </row>
    <row r="29" spans="1:5" x14ac:dyDescent="0.25">
      <c r="A29" s="14"/>
      <c r="B29" s="11" t="str">
        <f>IF($A29="","",IFERROR(INDEX(Artículos!$E$2:$E$213,MATCH($A29,Artículos!$A$2:$A$213,0)),""))</f>
        <v/>
      </c>
      <c r="C29" s="14"/>
      <c r="D29" s="14"/>
      <c r="E29" s="14"/>
    </row>
    <row r="30" spans="1:5" x14ac:dyDescent="0.25">
      <c r="A30" s="14"/>
      <c r="B30" s="11" t="str">
        <f>IF($A30="","",IFERROR(INDEX(Artículos!$E$2:$E$213,MATCH($A30,Artículos!$A$2:$A$213,0)),""))</f>
        <v/>
      </c>
      <c r="C30" s="14"/>
      <c r="D30" s="14"/>
      <c r="E30" s="14"/>
    </row>
    <row r="31" spans="1:5" x14ac:dyDescent="0.25">
      <c r="A31" s="14"/>
      <c r="B31" s="11" t="str">
        <f>IF($A31="","",IFERROR(INDEX(Artículos!$E$2:$E$213,MATCH($A31,Artículos!$A$2:$A$213,0)),""))</f>
        <v/>
      </c>
      <c r="C31" s="14"/>
      <c r="D31" s="14"/>
      <c r="E31" s="14"/>
    </row>
    <row r="32" spans="1:5" x14ac:dyDescent="0.25">
      <c r="A32" s="14"/>
      <c r="B32" s="11" t="str">
        <f>IF($A32="","",IFERROR(INDEX(Artículos!$E$2:$E$213,MATCH($A32,Artículos!$A$2:$A$213,0)),""))</f>
        <v/>
      </c>
      <c r="C32" s="14"/>
      <c r="D32" s="14"/>
      <c r="E32" s="14"/>
    </row>
    <row r="33" spans="1:5" x14ac:dyDescent="0.25">
      <c r="A33" s="14"/>
      <c r="B33" s="11" t="str">
        <f>IF($A33="","",IFERROR(INDEX(Artículos!$E$2:$E$213,MATCH($A33,Artículos!$A$2:$A$213,0)),""))</f>
        <v/>
      </c>
      <c r="C33" s="14"/>
      <c r="D33" s="14"/>
      <c r="E33" s="14"/>
    </row>
    <row r="34" spans="1:5" x14ac:dyDescent="0.25">
      <c r="A34" s="14"/>
      <c r="B34" s="11" t="str">
        <f>IF($A34="","",IFERROR(INDEX(Artículos!$E$2:$E$213,MATCH($A34,Artículos!$A$2:$A$213,0)),""))</f>
        <v/>
      </c>
      <c r="C34" s="14"/>
      <c r="D34" s="14"/>
      <c r="E34" s="14"/>
    </row>
    <row r="35" spans="1:5" x14ac:dyDescent="0.25">
      <c r="A35" s="14"/>
      <c r="B35" s="11" t="str">
        <f>IF($A35="","",IFERROR(INDEX(Artículos!$E$2:$E$213,MATCH($A35,Artículos!$A$2:$A$213,0)),""))</f>
        <v/>
      </c>
      <c r="C35" s="14"/>
      <c r="D35" s="14"/>
      <c r="E35" s="14"/>
    </row>
    <row r="36" spans="1:5" x14ac:dyDescent="0.25">
      <c r="A36" s="14"/>
      <c r="B36" s="11" t="str">
        <f>IF($A36="","",IFERROR(INDEX(Artículos!$E$2:$E$213,MATCH($A36,Artículos!$A$2:$A$213,0)),""))</f>
        <v/>
      </c>
      <c r="C36" s="14"/>
      <c r="D36" s="14"/>
      <c r="E36" s="14"/>
    </row>
    <row r="37" spans="1:5" x14ac:dyDescent="0.25">
      <c r="A37" s="14"/>
      <c r="B37" s="11" t="str">
        <f>IF($A37="","",IFERROR(INDEX(Artículos!$E$2:$E$213,MATCH($A37,Artículos!$A$2:$A$213,0)),""))</f>
        <v/>
      </c>
      <c r="C37" s="14"/>
      <c r="D37" s="14"/>
      <c r="E37" s="14"/>
    </row>
    <row r="38" spans="1:5" x14ac:dyDescent="0.25">
      <c r="A38" s="14"/>
      <c r="B38" s="11" t="str">
        <f>IF($A38="","",IFERROR(INDEX(Artículos!$E$2:$E$213,MATCH($A38,Artículos!$A$2:$A$213,0)),""))</f>
        <v/>
      </c>
      <c r="C38" s="14"/>
      <c r="D38" s="14"/>
      <c r="E38" s="14"/>
    </row>
    <row r="39" spans="1:5" x14ac:dyDescent="0.25">
      <c r="A39" s="14"/>
      <c r="B39" s="11" t="str">
        <f>IF($A39="","",IFERROR(INDEX(Artículos!$E$2:$E$213,MATCH($A39,Artículos!$A$2:$A$213,0)),""))</f>
        <v/>
      </c>
      <c r="C39" s="14"/>
      <c r="D39" s="14"/>
      <c r="E39" s="14"/>
    </row>
    <row r="40" spans="1:5" x14ac:dyDescent="0.25">
      <c r="A40" s="14"/>
      <c r="B40" s="11" t="str">
        <f>IF($A40="","",IFERROR(INDEX(Artículos!$E$2:$E$213,MATCH($A40,Artículos!$A$2:$A$213,0)),""))</f>
        <v/>
      </c>
      <c r="C40" s="14"/>
      <c r="D40" s="14"/>
      <c r="E40" s="14"/>
    </row>
    <row r="41" spans="1:5" x14ac:dyDescent="0.25">
      <c r="A41" s="14"/>
      <c r="B41" s="11" t="str">
        <f>IF($A41="","",IFERROR(INDEX(Artículos!$E$2:$E$213,MATCH($A41,Artículos!$A$2:$A$213,0)),""))</f>
        <v/>
      </c>
      <c r="C41" s="14"/>
      <c r="D41" s="14"/>
      <c r="E41" s="14"/>
    </row>
    <row r="42" spans="1:5" x14ac:dyDescent="0.25">
      <c r="A42" s="14"/>
      <c r="B42" s="11" t="str">
        <f>IF($A42="","",IFERROR(INDEX(Artículos!$E$2:$E$213,MATCH($A42,Artículos!$A$2:$A$213,0)),""))</f>
        <v/>
      </c>
      <c r="C42" s="14"/>
      <c r="D42" s="14"/>
      <c r="E42" s="14"/>
    </row>
    <row r="43" spans="1:5" x14ac:dyDescent="0.25">
      <c r="A43" s="14"/>
      <c r="B43" s="11" t="str">
        <f>IF($A43="","",IFERROR(INDEX(Artículos!$E$2:$E$213,MATCH($A43,Artículos!$A$2:$A$213,0)),""))</f>
        <v/>
      </c>
      <c r="C43" s="14"/>
      <c r="D43" s="14"/>
      <c r="E43" s="14"/>
    </row>
    <row r="44" spans="1:5" x14ac:dyDescent="0.25">
      <c r="A44" s="14"/>
      <c r="B44" s="11" t="str">
        <f>IF($A44="","",IFERROR(INDEX(Artículos!$E$2:$E$213,MATCH($A44,Artículos!$A$2:$A$213,0)),""))</f>
        <v/>
      </c>
      <c r="C44" s="14"/>
      <c r="D44" s="14"/>
      <c r="E44" s="14"/>
    </row>
    <row r="45" spans="1:5" x14ac:dyDescent="0.25">
      <c r="A45" s="14"/>
      <c r="B45" s="11" t="str">
        <f>IF($A45="","",IFERROR(INDEX(Artículos!$E$2:$E$213,MATCH($A45,Artículos!$A$2:$A$213,0)),""))</f>
        <v/>
      </c>
      <c r="C45" s="14"/>
      <c r="D45" s="14"/>
      <c r="E45" s="14"/>
    </row>
    <row r="46" spans="1:5" x14ac:dyDescent="0.25">
      <c r="A46" s="14"/>
      <c r="B46" s="11" t="str">
        <f>IF($A46="","",IFERROR(INDEX(Artículos!$E$2:$E$213,MATCH($A46,Artículos!$A$2:$A$213,0)),""))</f>
        <v/>
      </c>
      <c r="C46" s="14"/>
      <c r="D46" s="14"/>
      <c r="E46" s="14"/>
    </row>
    <row r="47" spans="1:5" x14ac:dyDescent="0.25">
      <c r="A47" s="14"/>
      <c r="B47" s="11" t="str">
        <f>IF($A47="","",IFERROR(INDEX(Artículos!$E$2:$E$213,MATCH($A47,Artículos!$A$2:$A$213,0)),""))</f>
        <v/>
      </c>
      <c r="C47" s="14"/>
      <c r="D47" s="14"/>
      <c r="E47" s="14"/>
    </row>
    <row r="48" spans="1:5" x14ac:dyDescent="0.25">
      <c r="A48" s="14"/>
      <c r="B48" s="11" t="str">
        <f>IF($A48="","",IFERROR(INDEX(Artículos!$E$2:$E$213,MATCH($A48,Artículos!$A$2:$A$213,0)),""))</f>
        <v/>
      </c>
      <c r="C48" s="14"/>
      <c r="D48" s="14"/>
      <c r="E48" s="14"/>
    </row>
    <row r="49" spans="1:5" x14ac:dyDescent="0.25">
      <c r="A49" s="14"/>
      <c r="B49" s="11" t="str">
        <f>IF($A49="","",IFERROR(INDEX(Artículos!$E$2:$E$213,MATCH($A49,Artículos!$A$2:$A$213,0)),""))</f>
        <v/>
      </c>
      <c r="C49" s="14"/>
      <c r="D49" s="14"/>
      <c r="E49" s="14"/>
    </row>
    <row r="50" spans="1:5" x14ac:dyDescent="0.25">
      <c r="A50" s="14"/>
      <c r="B50" s="11" t="str">
        <f>IF($A50="","",IFERROR(INDEX(Artículos!$E$2:$E$213,MATCH($A50,Artículos!$A$2:$A$213,0)),""))</f>
        <v/>
      </c>
      <c r="C50" s="14"/>
      <c r="D50" s="14"/>
      <c r="E50" s="14"/>
    </row>
    <row r="51" spans="1:5" x14ac:dyDescent="0.25">
      <c r="A51" s="14"/>
      <c r="B51" s="11" t="str">
        <f>IF($A51="","",IFERROR(INDEX(Artículos!$E$2:$E$213,MATCH($A51,Artículos!$A$2:$A$213,0)),""))</f>
        <v/>
      </c>
      <c r="C51" s="14"/>
      <c r="D51" s="14"/>
      <c r="E51" s="14"/>
    </row>
    <row r="52" spans="1:5" x14ac:dyDescent="0.25">
      <c r="A52" s="14"/>
      <c r="B52" s="11" t="str">
        <f>IF($A52="","",IFERROR(INDEX(Artículos!$E$2:$E$213,MATCH($A52,Artículos!$A$2:$A$213,0)),""))</f>
        <v/>
      </c>
      <c r="C52" s="14"/>
      <c r="D52" s="14"/>
      <c r="E52" s="14"/>
    </row>
    <row r="53" spans="1:5" x14ac:dyDescent="0.25">
      <c r="A53" s="14"/>
      <c r="B53" s="11" t="str">
        <f>IF($A53="","",IFERROR(INDEX(Artículos!$E$2:$E$213,MATCH($A53,Artículos!$A$2:$A$213,0)),""))</f>
        <v/>
      </c>
      <c r="C53" s="14"/>
      <c r="D53" s="14"/>
      <c r="E53" s="14"/>
    </row>
    <row r="54" spans="1:5" x14ac:dyDescent="0.25">
      <c r="A54" s="14"/>
      <c r="B54" s="11" t="str">
        <f>IF($A54="","",IFERROR(INDEX(Artículos!$E$2:$E$213,MATCH($A54,Artículos!$A$2:$A$213,0)),""))</f>
        <v/>
      </c>
      <c r="C54" s="14"/>
      <c r="D54" s="14"/>
      <c r="E54" s="14"/>
    </row>
    <row r="55" spans="1:5" x14ac:dyDescent="0.25">
      <c r="A55" s="14"/>
      <c r="B55" s="11" t="str">
        <f>IF($A55="","",IFERROR(INDEX(Artículos!$E$2:$E$213,MATCH($A55,Artículos!$A$2:$A$213,0)),""))</f>
        <v/>
      </c>
      <c r="C55" s="14"/>
      <c r="D55" s="14"/>
      <c r="E55" s="14"/>
    </row>
    <row r="56" spans="1:5" x14ac:dyDescent="0.25">
      <c r="A56" s="14"/>
      <c r="B56" s="11" t="str">
        <f>IF($A56="","",IFERROR(INDEX(Artículos!$E$2:$E$213,MATCH($A56,Artículos!$A$2:$A$213,0)),""))</f>
        <v/>
      </c>
      <c r="C56" s="14"/>
      <c r="D56" s="14"/>
      <c r="E56" s="14"/>
    </row>
    <row r="57" spans="1:5" x14ac:dyDescent="0.25">
      <c r="A57" s="14"/>
      <c r="B57" s="11" t="str">
        <f>IF($A57="","",IFERROR(INDEX(Artículos!$E$2:$E$213,MATCH($A57,Artículos!$A$2:$A$213,0)),""))</f>
        <v/>
      </c>
      <c r="C57" s="14"/>
      <c r="D57" s="14"/>
      <c r="E57" s="14"/>
    </row>
    <row r="58" spans="1:5" x14ac:dyDescent="0.25">
      <c r="A58" s="14"/>
      <c r="B58" s="11" t="str">
        <f>IF($A58="","",IFERROR(INDEX(Artículos!$E$2:$E$213,MATCH($A58,Artículos!$A$2:$A$213,0)),""))</f>
        <v/>
      </c>
      <c r="C58" s="14"/>
      <c r="D58" s="14"/>
      <c r="E58" s="14"/>
    </row>
    <row r="59" spans="1:5" x14ac:dyDescent="0.25">
      <c r="A59" s="14"/>
      <c r="B59" s="11" t="str">
        <f>IF($A59="","",IFERROR(INDEX(Artículos!$E$2:$E$213,MATCH($A59,Artículos!$A$2:$A$213,0)),""))</f>
        <v/>
      </c>
      <c r="C59" s="14"/>
      <c r="D59" s="14"/>
      <c r="E59" s="14"/>
    </row>
    <row r="60" spans="1:5" x14ac:dyDescent="0.25">
      <c r="A60" s="14"/>
      <c r="B60" s="11" t="str">
        <f>IF($A60="","",IFERROR(INDEX(Artículos!$E$2:$E$213,MATCH($A60,Artículos!$A$2:$A$213,0)),""))</f>
        <v/>
      </c>
      <c r="C60" s="14"/>
      <c r="D60" s="14"/>
      <c r="E60" s="14"/>
    </row>
    <row r="61" spans="1:5" x14ac:dyDescent="0.25">
      <c r="A61" s="14"/>
      <c r="B61" s="11" t="str">
        <f>IF($A61="","",IFERROR(INDEX(Artículos!$E$2:$E$213,MATCH($A61,Artículos!$A$2:$A$213,0)),""))</f>
        <v/>
      </c>
      <c r="C61" s="14"/>
      <c r="D61" s="14"/>
      <c r="E61" s="14"/>
    </row>
    <row r="62" spans="1:5" x14ac:dyDescent="0.25">
      <c r="A62" s="14"/>
      <c r="B62" s="11" t="str">
        <f>IF($A62="","",IFERROR(INDEX(Artículos!$E$2:$E$213,MATCH($A62,Artículos!$A$2:$A$213,0)),""))</f>
        <v/>
      </c>
      <c r="C62" s="14"/>
      <c r="D62" s="14"/>
      <c r="E62" s="14"/>
    </row>
    <row r="63" spans="1:5" x14ac:dyDescent="0.25">
      <c r="A63" s="14"/>
      <c r="B63" s="11" t="str">
        <f>IF($A63="","",IFERROR(INDEX(Artículos!$E$2:$E$213,MATCH($A63,Artículos!$A$2:$A$213,0)),""))</f>
        <v/>
      </c>
      <c r="C63" s="14"/>
      <c r="D63" s="14"/>
      <c r="E63" s="14"/>
    </row>
    <row r="64" spans="1:5" x14ac:dyDescent="0.25">
      <c r="A64" s="14"/>
      <c r="B64" s="11" t="str">
        <f>IF($A64="","",IFERROR(INDEX(Artículos!$E$2:$E$213,MATCH($A64,Artículos!$A$2:$A$213,0)),""))</f>
        <v/>
      </c>
      <c r="C64" s="14"/>
      <c r="D64" s="14"/>
      <c r="E64" s="14"/>
    </row>
    <row r="65" spans="1:5" x14ac:dyDescent="0.25">
      <c r="A65" s="14"/>
      <c r="B65" s="11" t="str">
        <f>IF($A65="","",IFERROR(INDEX(Artículos!$E$2:$E$213,MATCH($A65,Artículos!$A$2:$A$213,0)),""))</f>
        <v/>
      </c>
      <c r="C65" s="14"/>
      <c r="D65" s="14"/>
      <c r="E65" s="14"/>
    </row>
    <row r="66" spans="1:5" x14ac:dyDescent="0.25">
      <c r="A66" s="14"/>
      <c r="B66" s="11" t="str">
        <f>IF($A66="","",IFERROR(INDEX(Artículos!$E$2:$E$213,MATCH($A66,Artículos!$A$2:$A$213,0)),""))</f>
        <v/>
      </c>
      <c r="C66" s="14"/>
      <c r="D66" s="14"/>
      <c r="E66" s="14"/>
    </row>
    <row r="67" spans="1:5" x14ac:dyDescent="0.25">
      <c r="A67" s="14"/>
      <c r="B67" s="11" t="str">
        <f>IF($A67="","",IFERROR(INDEX(Artículos!$E$2:$E$213,MATCH($A67,Artículos!$A$2:$A$213,0)),""))</f>
        <v/>
      </c>
      <c r="C67" s="14"/>
      <c r="D67" s="14"/>
      <c r="E67" s="14"/>
    </row>
    <row r="68" spans="1:5" x14ac:dyDescent="0.25">
      <c r="A68" s="14"/>
      <c r="B68" s="11" t="str">
        <f>IF($A68="","",IFERROR(INDEX(Artículos!$E$2:$E$213,MATCH($A68,Artículos!$A$2:$A$213,0)),""))</f>
        <v/>
      </c>
      <c r="C68" s="14"/>
      <c r="D68" s="14"/>
      <c r="E68" s="14"/>
    </row>
    <row r="69" spans="1:5" x14ac:dyDescent="0.25">
      <c r="A69" s="14"/>
      <c r="B69" s="11" t="str">
        <f>IF($A69="","",IFERROR(INDEX(Artículos!$E$2:$E$213,MATCH($A69,Artículos!$A$2:$A$213,0)),""))</f>
        <v/>
      </c>
      <c r="C69" s="14"/>
      <c r="D69" s="14"/>
      <c r="E69" s="14"/>
    </row>
    <row r="70" spans="1:5" x14ac:dyDescent="0.25">
      <c r="A70" s="14"/>
      <c r="B70" s="11" t="str">
        <f>IF($A70="","",IFERROR(INDEX(Artículos!$E$2:$E$213,MATCH($A70,Artículos!$A$2:$A$213,0)),""))</f>
        <v/>
      </c>
      <c r="C70" s="14"/>
      <c r="D70" s="14"/>
      <c r="E70" s="14"/>
    </row>
    <row r="71" spans="1:5" x14ac:dyDescent="0.25">
      <c r="A71" s="14"/>
      <c r="B71" s="11" t="str">
        <f>IF($A71="","",IFERROR(INDEX(Artículos!$E$2:$E$213,MATCH($A71,Artículos!$A$2:$A$213,0)),""))</f>
        <v/>
      </c>
      <c r="C71" s="14"/>
      <c r="D71" s="14"/>
      <c r="E71" s="14"/>
    </row>
    <row r="72" spans="1:5" x14ac:dyDescent="0.25">
      <c r="A72" s="14"/>
      <c r="B72" s="11" t="str">
        <f>IF($A72="","",IFERROR(INDEX(Artículos!$E$2:$E$213,MATCH($A72,Artículos!$A$2:$A$213,0)),""))</f>
        <v/>
      </c>
      <c r="C72" s="14"/>
      <c r="D72" s="14"/>
      <c r="E72" s="14"/>
    </row>
    <row r="73" spans="1:5" x14ac:dyDescent="0.25">
      <c r="A73" s="14"/>
      <c r="B73" s="11" t="str">
        <f>IF($A73="","",IFERROR(INDEX(Artículos!$E$2:$E$213,MATCH($A73,Artículos!$A$2:$A$213,0)),""))</f>
        <v/>
      </c>
      <c r="C73" s="14"/>
      <c r="D73" s="14"/>
      <c r="E73" s="14"/>
    </row>
    <row r="74" spans="1:5" x14ac:dyDescent="0.25">
      <c r="A74" s="14"/>
      <c r="B74" s="11" t="str">
        <f>IF($A74="","",IFERROR(INDEX(Artículos!$E$2:$E$213,MATCH($A74,Artículos!$A$2:$A$213,0)),""))</f>
        <v/>
      </c>
      <c r="C74" s="14"/>
      <c r="D74" s="14"/>
      <c r="E74" s="14"/>
    </row>
    <row r="75" spans="1:5" x14ac:dyDescent="0.25">
      <c r="A75" s="14"/>
      <c r="B75" s="11" t="str">
        <f>IF($A75="","",IFERROR(INDEX(Artículos!$E$2:$E$213,MATCH($A75,Artículos!$A$2:$A$213,0)),""))</f>
        <v/>
      </c>
      <c r="C75" s="14"/>
      <c r="D75" s="14"/>
      <c r="E75" s="14"/>
    </row>
    <row r="76" spans="1:5" x14ac:dyDescent="0.25">
      <c r="A76" s="14"/>
      <c r="B76" s="11" t="str">
        <f>IF($A76="","",IFERROR(INDEX(Artículos!$E$2:$E$213,MATCH($A76,Artículos!$A$2:$A$213,0)),""))</f>
        <v/>
      </c>
      <c r="C76" s="14"/>
      <c r="D76" s="14"/>
      <c r="E76" s="14"/>
    </row>
    <row r="77" spans="1:5" x14ac:dyDescent="0.25">
      <c r="A77" s="14"/>
      <c r="B77" s="11" t="str">
        <f>IF($A77="","",IFERROR(INDEX(Artículos!$E$2:$E$213,MATCH($A77,Artículos!$A$2:$A$213,0)),""))</f>
        <v/>
      </c>
      <c r="C77" s="14"/>
      <c r="D77" s="14"/>
      <c r="E77" s="14"/>
    </row>
    <row r="78" spans="1:5" x14ac:dyDescent="0.25">
      <c r="A78" s="14"/>
      <c r="B78" s="11" t="str">
        <f>IF($A78="","",IFERROR(INDEX(Artículos!$E$2:$E$213,MATCH($A78,Artículos!$A$2:$A$213,0)),""))</f>
        <v/>
      </c>
      <c r="C78" s="14"/>
      <c r="D78" s="14"/>
      <c r="E78" s="14"/>
    </row>
    <row r="79" spans="1:5" x14ac:dyDescent="0.25">
      <c r="A79" s="14"/>
      <c r="B79" s="11" t="str">
        <f>IF($A79="","",IFERROR(INDEX(Artículos!$E$2:$E$213,MATCH($A79,Artículos!$A$2:$A$213,0)),""))</f>
        <v/>
      </c>
      <c r="C79" s="14"/>
      <c r="D79" s="14"/>
      <c r="E79" s="14"/>
    </row>
    <row r="80" spans="1:5" x14ac:dyDescent="0.25">
      <c r="A80" s="14"/>
      <c r="B80" s="11" t="str">
        <f>IF($A80="","",IFERROR(INDEX(Artículos!$E$2:$E$213,MATCH($A80,Artículos!$A$2:$A$213,0)),""))</f>
        <v/>
      </c>
      <c r="C80" s="14"/>
      <c r="D80" s="14"/>
      <c r="E80" s="14"/>
    </row>
    <row r="81" spans="1:5" x14ac:dyDescent="0.25">
      <c r="A81" s="14"/>
      <c r="B81" s="11" t="str">
        <f>IF($A81="","",IFERROR(INDEX(Artículos!$E$2:$E$213,MATCH($A81,Artículos!$A$2:$A$213,0)),""))</f>
        <v/>
      </c>
      <c r="C81" s="14"/>
      <c r="D81" s="14"/>
      <c r="E81" s="14"/>
    </row>
    <row r="82" spans="1:5" x14ac:dyDescent="0.25">
      <c r="A82" s="14"/>
      <c r="B82" s="11" t="str">
        <f>IF($A82="","",IFERROR(INDEX(Artículos!$E$2:$E$213,MATCH($A82,Artículos!$A$2:$A$213,0)),""))</f>
        <v/>
      </c>
      <c r="C82" s="14"/>
      <c r="D82" s="14"/>
      <c r="E82" s="14"/>
    </row>
    <row r="83" spans="1:5" x14ac:dyDescent="0.25">
      <c r="A83" s="14"/>
      <c r="B83" s="11" t="str">
        <f>IF($A83="","",IFERROR(INDEX(Artículos!$E$2:$E$213,MATCH($A83,Artículos!$A$2:$A$213,0)),""))</f>
        <v/>
      </c>
      <c r="C83" s="14"/>
      <c r="D83" s="14"/>
      <c r="E83" s="14"/>
    </row>
    <row r="84" spans="1:5" x14ac:dyDescent="0.25">
      <c r="A84" s="14"/>
      <c r="B84" s="11" t="str">
        <f>IF($A84="","",IFERROR(INDEX(Artículos!$E$2:$E$213,MATCH($A84,Artículos!$A$2:$A$213,0)),""))</f>
        <v/>
      </c>
      <c r="C84" s="14"/>
      <c r="D84" s="14"/>
      <c r="E84" s="14"/>
    </row>
    <row r="85" spans="1:5" x14ac:dyDescent="0.25">
      <c r="A85" s="14"/>
      <c r="B85" s="11" t="str">
        <f>IF($A85="","",IFERROR(INDEX(Artículos!$E$2:$E$213,MATCH($A85,Artículos!$A$2:$A$213,0)),""))</f>
        <v/>
      </c>
      <c r="C85" s="14"/>
      <c r="D85" s="14"/>
      <c r="E85" s="14"/>
    </row>
    <row r="86" spans="1:5" x14ac:dyDescent="0.25">
      <c r="A86" s="14"/>
      <c r="B86" s="11" t="str">
        <f>IF($A86="","",IFERROR(INDEX(Artículos!$E$2:$E$213,MATCH($A86,Artículos!$A$2:$A$213,0)),""))</f>
        <v/>
      </c>
      <c r="C86" s="14"/>
      <c r="D86" s="14"/>
      <c r="E86" s="14"/>
    </row>
    <row r="87" spans="1:5" x14ac:dyDescent="0.25">
      <c r="A87" s="14"/>
      <c r="B87" s="11" t="str">
        <f>IF($A87="","",IFERROR(INDEX(Artículos!$E$2:$E$213,MATCH($A87,Artículos!$A$2:$A$213,0)),""))</f>
        <v/>
      </c>
      <c r="C87" s="14"/>
      <c r="D87" s="14"/>
      <c r="E87" s="14"/>
    </row>
    <row r="88" spans="1:5" x14ac:dyDescent="0.25">
      <c r="A88" s="14"/>
      <c r="B88" s="11" t="str">
        <f>IF($A88="","",IFERROR(INDEX(Artículos!$E$2:$E$213,MATCH($A88,Artículos!$A$2:$A$213,0)),""))</f>
        <v/>
      </c>
      <c r="C88" s="14"/>
      <c r="D88" s="14"/>
      <c r="E88" s="14"/>
    </row>
    <row r="89" spans="1:5" x14ac:dyDescent="0.25">
      <c r="A89" s="14"/>
      <c r="B89" s="11" t="str">
        <f>IF($A89="","",IFERROR(INDEX(Artículos!$E$2:$E$213,MATCH($A89,Artículos!$A$2:$A$213,0)),""))</f>
        <v/>
      </c>
      <c r="C89" s="14"/>
      <c r="D89" s="14"/>
      <c r="E89" s="14"/>
    </row>
    <row r="90" spans="1:5" x14ac:dyDescent="0.25">
      <c r="A90" s="14"/>
      <c r="B90" s="11" t="str">
        <f>IF($A90="","",IFERROR(INDEX(Artículos!$E$2:$E$213,MATCH($A90,Artículos!$A$2:$A$213,0)),""))</f>
        <v/>
      </c>
      <c r="C90" s="14"/>
      <c r="D90" s="14"/>
      <c r="E90" s="14"/>
    </row>
    <row r="91" spans="1:5" x14ac:dyDescent="0.25">
      <c r="A91" s="14"/>
      <c r="B91" s="11" t="str">
        <f>IF($A91="","",IFERROR(INDEX(Artículos!$E$2:$E$213,MATCH($A91,Artículos!$A$2:$A$213,0)),""))</f>
        <v/>
      </c>
      <c r="C91" s="14"/>
      <c r="D91" s="14"/>
      <c r="E91" s="14"/>
    </row>
    <row r="92" spans="1:5" x14ac:dyDescent="0.25">
      <c r="A92" s="14"/>
      <c r="B92" s="11" t="str">
        <f>IF($A92="","",IFERROR(INDEX(Artículos!$E$2:$E$213,MATCH($A92,Artículos!$A$2:$A$213,0)),""))</f>
        <v/>
      </c>
      <c r="C92" s="14"/>
      <c r="D92" s="14"/>
      <c r="E92" s="14"/>
    </row>
    <row r="93" spans="1:5" x14ac:dyDescent="0.25">
      <c r="A93" s="14"/>
      <c r="B93" s="11" t="str">
        <f>IF($A93="","",IFERROR(INDEX(Artículos!$E$2:$E$213,MATCH($A93,Artículos!$A$2:$A$213,0)),""))</f>
        <v/>
      </c>
      <c r="C93" s="14"/>
      <c r="D93" s="14"/>
      <c r="E93" s="14"/>
    </row>
    <row r="94" spans="1:5" x14ac:dyDescent="0.25">
      <c r="A94" s="14"/>
      <c r="B94" s="11" t="str">
        <f>IF($A94="","",IFERROR(INDEX(Artículos!$E$2:$E$213,MATCH($A94,Artículos!$A$2:$A$213,0)),""))</f>
        <v/>
      </c>
      <c r="C94" s="14"/>
      <c r="D94" s="14"/>
      <c r="E94" s="14"/>
    </row>
    <row r="95" spans="1:5" x14ac:dyDescent="0.25">
      <c r="A95" s="14"/>
      <c r="B95" s="11" t="str">
        <f>IF($A95="","",IFERROR(INDEX(Artículos!$E$2:$E$213,MATCH($A95,Artículos!$A$2:$A$213,0)),""))</f>
        <v/>
      </c>
      <c r="C95" s="14"/>
      <c r="D95" s="14"/>
      <c r="E95" s="14"/>
    </row>
    <row r="96" spans="1:5" x14ac:dyDescent="0.25">
      <c r="A96" s="14"/>
      <c r="B96" s="11" t="str">
        <f>IF($A96="","",IFERROR(INDEX(Artículos!$E$2:$E$213,MATCH($A96,Artículos!$A$2:$A$213,0)),""))</f>
        <v/>
      </c>
      <c r="C96" s="14"/>
      <c r="D96" s="14"/>
      <c r="E96" s="14"/>
    </row>
    <row r="97" spans="1:5" x14ac:dyDescent="0.25">
      <c r="A97" s="14"/>
      <c r="B97" s="11" t="str">
        <f>IF($A97="","",IFERROR(INDEX(Artículos!$E$2:$E$213,MATCH($A97,Artículos!$A$2:$A$213,0)),""))</f>
        <v/>
      </c>
      <c r="C97" s="14"/>
      <c r="D97" s="14"/>
      <c r="E97" s="14"/>
    </row>
    <row r="98" spans="1:5" x14ac:dyDescent="0.25">
      <c r="A98" s="14"/>
      <c r="B98" s="11" t="str">
        <f>IF($A98="","",IFERROR(INDEX(Artículos!$E$2:$E$213,MATCH($A98,Artículos!$A$2:$A$213,0)),""))</f>
        <v/>
      </c>
      <c r="C98" s="14"/>
      <c r="D98" s="14"/>
      <c r="E98" s="14"/>
    </row>
    <row r="99" spans="1:5" x14ac:dyDescent="0.25">
      <c r="A99" s="14"/>
      <c r="B99" s="11" t="str">
        <f>IF($A99="","",IFERROR(INDEX(Artículos!$E$2:$E$213,MATCH($A99,Artículos!$A$2:$A$213,0)),""))</f>
        <v/>
      </c>
      <c r="C99" s="14"/>
      <c r="D99" s="14"/>
      <c r="E99" s="14"/>
    </row>
    <row r="100" spans="1:5" x14ac:dyDescent="0.25">
      <c r="A100" s="14"/>
      <c r="B100" s="11" t="str">
        <f>IF($A100="","",IFERROR(INDEX(Artículos!$E$2:$E$213,MATCH($A100,Artículos!$A$2:$A$213,0)),""))</f>
        <v/>
      </c>
      <c r="C100" s="14"/>
      <c r="D100" s="14"/>
      <c r="E100" s="14"/>
    </row>
    <row r="101" spans="1:5" x14ac:dyDescent="0.25">
      <c r="A101" s="14"/>
      <c r="B101" s="11" t="str">
        <f>IF($A101="","",IFERROR(INDEX(Artículos!$E$2:$E$213,MATCH($A101,Artículos!$A$2:$A$213,0)),""))</f>
        <v/>
      </c>
      <c r="C101" s="14"/>
      <c r="D101" s="14"/>
      <c r="E101" s="14"/>
    </row>
    <row r="102" spans="1:5" x14ac:dyDescent="0.25">
      <c r="A102" s="14"/>
      <c r="B102" s="11" t="str">
        <f>IF($A102="","",IFERROR(INDEX(Artículos!$E$2:$E$213,MATCH($A102,Artículos!$A$2:$A$213,0)),""))</f>
        <v/>
      </c>
      <c r="C102" s="14"/>
      <c r="D102" s="14"/>
      <c r="E102" s="14"/>
    </row>
    <row r="103" spans="1:5" x14ac:dyDescent="0.25">
      <c r="A103" s="14"/>
      <c r="B103" s="11" t="str">
        <f>IF($A103="","",IFERROR(INDEX(Artículos!$E$2:$E$213,MATCH($A103,Artículos!$A$2:$A$213,0)),""))</f>
        <v/>
      </c>
      <c r="C103" s="14"/>
      <c r="D103" s="14"/>
      <c r="E103" s="14"/>
    </row>
    <row r="104" spans="1:5" x14ac:dyDescent="0.25">
      <c r="A104" s="14"/>
      <c r="B104" s="11" t="str">
        <f>IF($A104="","",IFERROR(INDEX(Artículos!$E$2:$E$213,MATCH($A104,Artículos!$A$2:$A$213,0)),""))</f>
        <v/>
      </c>
      <c r="C104" s="14"/>
      <c r="D104" s="14"/>
      <c r="E104" s="14"/>
    </row>
    <row r="105" spans="1:5" x14ac:dyDescent="0.25">
      <c r="A105" s="14"/>
      <c r="B105" s="11" t="str">
        <f>IF($A105="","",IFERROR(INDEX(Artículos!$E$2:$E$213,MATCH($A105,Artículos!$A$2:$A$213,0)),""))</f>
        <v/>
      </c>
      <c r="C105" s="14"/>
      <c r="D105" s="14"/>
      <c r="E105" s="14"/>
    </row>
    <row r="106" spans="1:5" x14ac:dyDescent="0.25">
      <c r="A106" s="14"/>
      <c r="B106" s="11" t="str">
        <f>IF($A106="","",IFERROR(INDEX(Artículos!$E$2:$E$213,MATCH($A106,Artículos!$A$2:$A$213,0)),""))</f>
        <v/>
      </c>
      <c r="C106" s="14"/>
      <c r="D106" s="14"/>
      <c r="E106" s="14"/>
    </row>
    <row r="107" spans="1:5" x14ac:dyDescent="0.25">
      <c r="A107" s="14"/>
      <c r="B107" s="11" t="str">
        <f>IF($A107="","",IFERROR(INDEX(Artículos!$E$2:$E$213,MATCH($A107,Artículos!$A$2:$A$213,0)),""))</f>
        <v/>
      </c>
      <c r="C107" s="14"/>
      <c r="D107" s="14"/>
      <c r="E107" s="14"/>
    </row>
    <row r="108" spans="1:5" x14ac:dyDescent="0.25">
      <c r="A108" s="14"/>
      <c r="B108" s="11" t="str">
        <f>IF($A108="","",IFERROR(INDEX(Artículos!$E$2:$E$213,MATCH($A108,Artículos!$A$2:$A$213,0)),""))</f>
        <v/>
      </c>
      <c r="C108" s="14"/>
      <c r="D108" s="14"/>
      <c r="E108" s="14"/>
    </row>
    <row r="109" spans="1:5" x14ac:dyDescent="0.25">
      <c r="A109" s="14"/>
      <c r="B109" s="11" t="str">
        <f>IF($A109="","",IFERROR(INDEX(Artículos!$E$2:$E$213,MATCH($A109,Artículos!$A$2:$A$213,0)),""))</f>
        <v/>
      </c>
      <c r="C109" s="14"/>
      <c r="D109" s="14"/>
      <c r="E109" s="14"/>
    </row>
    <row r="110" spans="1:5" x14ac:dyDescent="0.25">
      <c r="A110" s="14"/>
      <c r="B110" s="11" t="str">
        <f>IF($A110="","",IFERROR(INDEX(Artículos!$E$2:$E$213,MATCH($A110,Artículos!$A$2:$A$213,0)),""))</f>
        <v/>
      </c>
      <c r="C110" s="14"/>
      <c r="D110" s="14"/>
      <c r="E110" s="14"/>
    </row>
    <row r="111" spans="1:5" x14ac:dyDescent="0.25">
      <c r="A111" s="14"/>
      <c r="B111" s="11" t="str">
        <f>IF($A111="","",IFERROR(INDEX(Artículos!$E$2:$E$213,MATCH($A111,Artículos!$A$2:$A$213,0)),""))</f>
        <v/>
      </c>
      <c r="C111" s="14"/>
      <c r="D111" s="14"/>
      <c r="E111" s="14"/>
    </row>
    <row r="112" spans="1:5" x14ac:dyDescent="0.25">
      <c r="A112" s="14"/>
      <c r="B112" s="11" t="str">
        <f>IF($A112="","",IFERROR(INDEX(Artículos!$E$2:$E$213,MATCH($A112,Artículos!$A$2:$A$213,0)),""))</f>
        <v/>
      </c>
      <c r="C112" s="14"/>
      <c r="D112" s="14"/>
      <c r="E112" s="14"/>
    </row>
    <row r="113" spans="1:5" x14ac:dyDescent="0.25">
      <c r="A113" s="14"/>
      <c r="B113" s="11" t="str">
        <f>IF($A113="","",IFERROR(INDEX(Artículos!$E$2:$E$213,MATCH($A113,Artículos!$A$2:$A$213,0)),""))</f>
        <v/>
      </c>
      <c r="C113" s="14"/>
      <c r="D113" s="14"/>
      <c r="E113" s="14"/>
    </row>
    <row r="114" spans="1:5" x14ac:dyDescent="0.25">
      <c r="A114" s="14"/>
      <c r="B114" s="11" t="str">
        <f>IF($A114="","",IFERROR(INDEX(Artículos!$E$2:$E$213,MATCH($A114,Artículos!$A$2:$A$213,0)),""))</f>
        <v/>
      </c>
      <c r="C114" s="14"/>
      <c r="D114" s="14"/>
      <c r="E114" s="14"/>
    </row>
    <row r="115" spans="1:5" x14ac:dyDescent="0.25">
      <c r="A115" s="14"/>
      <c r="B115" s="11" t="str">
        <f>IF($A115="","",IFERROR(INDEX(Artículos!$E$2:$E$213,MATCH($A115,Artículos!$A$2:$A$213,0)),""))</f>
        <v/>
      </c>
      <c r="C115" s="14"/>
      <c r="D115" s="14"/>
      <c r="E115" s="14"/>
    </row>
    <row r="116" spans="1:5" x14ac:dyDescent="0.25">
      <c r="A116" s="14"/>
      <c r="B116" s="11" t="str">
        <f>IF($A116="","",IFERROR(INDEX(Artículos!$E$2:$E$213,MATCH($A116,Artículos!$A$2:$A$213,0)),""))</f>
        <v/>
      </c>
      <c r="C116" s="14"/>
      <c r="D116" s="14"/>
      <c r="E116" s="14"/>
    </row>
    <row r="117" spans="1:5" x14ac:dyDescent="0.25">
      <c r="A117" s="14"/>
      <c r="B117" s="11" t="str">
        <f>IF($A117="","",IFERROR(INDEX(Artículos!$E$2:$E$213,MATCH($A117,Artículos!$A$2:$A$213,0)),""))</f>
        <v/>
      </c>
      <c r="C117" s="14"/>
      <c r="D117" s="14"/>
      <c r="E117" s="14"/>
    </row>
    <row r="118" spans="1:5" x14ac:dyDescent="0.25">
      <c r="A118" s="14"/>
      <c r="B118" s="11" t="str">
        <f>IF($A118="","",IFERROR(INDEX(Artículos!$E$2:$E$213,MATCH($A118,Artículos!$A$2:$A$213,0)),""))</f>
        <v/>
      </c>
      <c r="C118" s="14"/>
      <c r="D118" s="14"/>
      <c r="E118" s="14"/>
    </row>
    <row r="119" spans="1:5" x14ac:dyDescent="0.25">
      <c r="A119" s="14"/>
      <c r="B119" s="11" t="str">
        <f>IF($A119="","",IFERROR(INDEX(Artículos!$E$2:$E$213,MATCH($A119,Artículos!$A$2:$A$213,0)),""))</f>
        <v/>
      </c>
      <c r="C119" s="14"/>
      <c r="D119" s="14"/>
      <c r="E119" s="14"/>
    </row>
    <row r="120" spans="1:5" x14ac:dyDescent="0.25">
      <c r="A120" s="14"/>
      <c r="B120" s="11" t="str">
        <f>IF($A120="","",IFERROR(INDEX(Artículos!$E$2:$E$213,MATCH($A120,Artículos!$A$2:$A$213,0)),""))</f>
        <v/>
      </c>
      <c r="C120" s="14"/>
      <c r="D120" s="14"/>
      <c r="E120" s="14"/>
    </row>
    <row r="121" spans="1:5" x14ac:dyDescent="0.25">
      <c r="A121" s="14"/>
      <c r="B121" s="11" t="str">
        <f>IF($A121="","",IFERROR(INDEX(Artículos!$E$2:$E$213,MATCH($A121,Artículos!$A$2:$A$213,0)),""))</f>
        <v/>
      </c>
      <c r="C121" s="14"/>
      <c r="D121" s="14"/>
      <c r="E121" s="14"/>
    </row>
    <row r="122" spans="1:5" x14ac:dyDescent="0.25">
      <c r="A122" s="14"/>
      <c r="B122" s="11" t="str">
        <f>IF($A122="","",IFERROR(INDEX(Artículos!$E$2:$E$213,MATCH($A122,Artículos!$A$2:$A$213,0)),""))</f>
        <v/>
      </c>
      <c r="C122" s="14"/>
      <c r="D122" s="14"/>
      <c r="E122" s="14"/>
    </row>
  </sheetData>
  <mergeCells count="1">
    <mergeCell ref="A1:E1"/>
  </mergeCells>
  <dataValidations count="2">
    <dataValidation type="list" allowBlank="1" showErrorMessage="1" errorTitle="Código no válido" error="Solo códigos ya generados en la hoja Artículos." sqref="A3:A122" xr:uid="{00000000-0002-0000-0500-000000000000}">
      <formula1>LST_CODIGOS</formula1>
      <formula2>0</formula2>
    </dataValidation>
    <dataValidation type="list" allowBlank="1" showErrorMessage="1" errorTitle="Código no válido" error="Solo códigos ya generados en la hoja Artículos." sqref="C3:C122" xr:uid="{00000000-0002-0000-0500-000001000000}">
      <formula1>INDIRECT("TCB[TIPO]")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22"/>
  <sheetViews>
    <sheetView showGridLines="0" zoomScaleNormal="100" workbookViewId="0">
      <selection activeCell="D14" sqref="D14"/>
    </sheetView>
  </sheetViews>
  <sheetFormatPr baseColWidth="10" defaultColWidth="8.7109375" defaultRowHeight="15" x14ac:dyDescent="0.25"/>
  <cols>
    <col min="1" max="1" width="2" customWidth="1"/>
    <col min="2" max="2" width="34" customWidth="1"/>
    <col min="3" max="3" width="36" customWidth="1"/>
    <col min="4" max="5" width="16" customWidth="1"/>
  </cols>
  <sheetData>
    <row r="1" spans="2:5" ht="15.75" x14ac:dyDescent="0.25">
      <c r="B1" s="24" t="s">
        <v>46</v>
      </c>
      <c r="C1" s="24"/>
      <c r="D1" s="24"/>
      <c r="E1" s="24"/>
    </row>
    <row r="2" spans="2:5" x14ac:dyDescent="0.25">
      <c r="B2" s="16"/>
    </row>
    <row r="4" spans="2:5" x14ac:dyDescent="0.25">
      <c r="B4" s="25" t="s">
        <v>47</v>
      </c>
      <c r="C4" s="25"/>
      <c r="D4" s="25"/>
      <c r="E4" s="25"/>
    </row>
    <row r="5" spans="2:5" x14ac:dyDescent="0.25">
      <c r="B5" s="17" t="s">
        <v>48</v>
      </c>
      <c r="C5" s="17" t="s">
        <v>49</v>
      </c>
      <c r="D5" s="17" t="s">
        <v>50</v>
      </c>
      <c r="E5" s="17" t="s">
        <v>51</v>
      </c>
    </row>
    <row r="6" spans="2:5" x14ac:dyDescent="0.25">
      <c r="B6" s="18" t="s">
        <v>52</v>
      </c>
      <c r="C6" s="18" t="s">
        <v>53</v>
      </c>
      <c r="D6" s="18" t="s">
        <v>54</v>
      </c>
      <c r="E6" s="18" t="s">
        <v>55</v>
      </c>
    </row>
    <row r="8" spans="2:5" x14ac:dyDescent="0.25">
      <c r="B8" s="25" t="s">
        <v>56</v>
      </c>
      <c r="C8" s="25"/>
      <c r="D8" s="25"/>
      <c r="E8" s="25"/>
    </row>
    <row r="9" spans="2:5" x14ac:dyDescent="0.25">
      <c r="B9" s="17" t="s">
        <v>57</v>
      </c>
      <c r="C9" s="17" t="s">
        <v>58</v>
      </c>
      <c r="D9" s="17" t="s">
        <v>59</v>
      </c>
    </row>
    <row r="10" spans="2:5" x14ac:dyDescent="0.25">
      <c r="B10" s="18" t="s">
        <v>60</v>
      </c>
      <c r="C10" s="18" t="s">
        <v>61</v>
      </c>
      <c r="D10" s="18" t="s">
        <v>62</v>
      </c>
    </row>
    <row r="11" spans="2:5" x14ac:dyDescent="0.25">
      <c r="B11" s="18" t="s">
        <v>63</v>
      </c>
      <c r="C11" s="18" t="s">
        <v>64</v>
      </c>
      <c r="D11" s="18" t="s">
        <v>65</v>
      </c>
    </row>
    <row r="12" spans="2:5" x14ac:dyDescent="0.25">
      <c r="B12" s="18" t="s">
        <v>66</v>
      </c>
      <c r="C12" s="18" t="s">
        <v>36</v>
      </c>
      <c r="D12" s="18" t="s">
        <v>65</v>
      </c>
    </row>
    <row r="13" spans="2:5" x14ac:dyDescent="0.25">
      <c r="B13" s="18" t="s">
        <v>67</v>
      </c>
      <c r="C13" s="18" t="s">
        <v>68</v>
      </c>
      <c r="D13" s="18" t="s">
        <v>65</v>
      </c>
    </row>
    <row r="14" spans="2:5" x14ac:dyDescent="0.25">
      <c r="B14" s="18" t="s">
        <v>69</v>
      </c>
      <c r="C14" s="18" t="s">
        <v>70</v>
      </c>
      <c r="D14" s="18" t="s">
        <v>65</v>
      </c>
    </row>
    <row r="24" spans="2:5" x14ac:dyDescent="0.25">
      <c r="B24" s="25" t="s">
        <v>71</v>
      </c>
      <c r="C24" s="25"/>
      <c r="D24" s="25"/>
      <c r="E24" s="25"/>
    </row>
    <row r="25" spans="2:5" ht="24" customHeight="1" x14ac:dyDescent="0.25">
      <c r="B25" s="26" t="s">
        <v>72</v>
      </c>
      <c r="C25" s="26"/>
      <c r="D25" s="26"/>
      <c r="E25" s="26"/>
    </row>
    <row r="26" spans="2:5" x14ac:dyDescent="0.25">
      <c r="B26" s="25" t="s">
        <v>61</v>
      </c>
      <c r="C26" s="25"/>
    </row>
    <row r="27" spans="2:5" x14ac:dyDescent="0.25">
      <c r="B27" s="17" t="s">
        <v>73</v>
      </c>
    </row>
    <row r="28" spans="2:5" x14ac:dyDescent="0.25">
      <c r="B28" s="18" t="s">
        <v>349</v>
      </c>
    </row>
    <row r="29" spans="2:5" x14ac:dyDescent="0.25">
      <c r="B29" t="s">
        <v>350</v>
      </c>
    </row>
    <row r="30" spans="2:5" x14ac:dyDescent="0.25">
      <c r="B30" t="s">
        <v>351</v>
      </c>
    </row>
    <row r="35" spans="2:3" x14ac:dyDescent="0.25">
      <c r="B35" s="25" t="s">
        <v>64</v>
      </c>
      <c r="C35" s="25"/>
    </row>
    <row r="36" spans="2:3" x14ac:dyDescent="0.25">
      <c r="B36" s="17" t="s">
        <v>73</v>
      </c>
    </row>
    <row r="37" spans="2:3" x14ac:dyDescent="0.25">
      <c r="B37" s="18"/>
    </row>
    <row r="44" spans="2:3" x14ac:dyDescent="0.25">
      <c r="B44" s="25" t="s">
        <v>36</v>
      </c>
      <c r="C44" s="25"/>
    </row>
    <row r="45" spans="2:3" x14ac:dyDescent="0.25">
      <c r="B45" s="17" t="s">
        <v>73</v>
      </c>
    </row>
    <row r="46" spans="2:3" x14ac:dyDescent="0.25">
      <c r="B46" s="18" t="s">
        <v>37</v>
      </c>
    </row>
    <row r="47" spans="2:3" x14ac:dyDescent="0.25">
      <c r="B47" s="18" t="s">
        <v>74</v>
      </c>
    </row>
    <row r="48" spans="2:3" x14ac:dyDescent="0.25">
      <c r="B48" t="s">
        <v>241</v>
      </c>
    </row>
    <row r="49" spans="2:3" x14ac:dyDescent="0.25">
      <c r="B49" t="s">
        <v>222</v>
      </c>
    </row>
    <row r="50" spans="2:3" x14ac:dyDescent="0.25">
      <c r="B50" t="s">
        <v>242</v>
      </c>
    </row>
    <row r="51" spans="2:3" x14ac:dyDescent="0.25">
      <c r="B51" t="s">
        <v>251</v>
      </c>
    </row>
    <row r="52" spans="2:3" x14ac:dyDescent="0.25">
      <c r="B52" t="s">
        <v>252</v>
      </c>
    </row>
    <row r="56" spans="2:3" x14ac:dyDescent="0.25">
      <c r="B56" s="25" t="s">
        <v>68</v>
      </c>
      <c r="C56" s="25"/>
    </row>
    <row r="57" spans="2:3" x14ac:dyDescent="0.25">
      <c r="B57" s="17" t="s">
        <v>73</v>
      </c>
    </row>
    <row r="58" spans="2:3" x14ac:dyDescent="0.25">
      <c r="B58" s="18" t="s">
        <v>75</v>
      </c>
    </row>
    <row r="59" spans="2:3" x14ac:dyDescent="0.25">
      <c r="B59" s="18" t="s">
        <v>76</v>
      </c>
    </row>
    <row r="60" spans="2:3" x14ac:dyDescent="0.25">
      <c r="B60" s="18" t="s">
        <v>77</v>
      </c>
    </row>
    <row r="61" spans="2:3" x14ac:dyDescent="0.25">
      <c r="B61" s="18" t="s">
        <v>78</v>
      </c>
    </row>
    <row r="62" spans="2:3" x14ac:dyDescent="0.25">
      <c r="B62" s="18" t="s">
        <v>79</v>
      </c>
    </row>
    <row r="63" spans="2:3" x14ac:dyDescent="0.25">
      <c r="B63" s="18" t="s">
        <v>80</v>
      </c>
    </row>
    <row r="64" spans="2:3" x14ac:dyDescent="0.25">
      <c r="B64" s="18" t="s">
        <v>81</v>
      </c>
    </row>
    <row r="65" spans="2:3" x14ac:dyDescent="0.25">
      <c r="B65" s="18" t="s">
        <v>82</v>
      </c>
    </row>
    <row r="66" spans="2:3" x14ac:dyDescent="0.25">
      <c r="B66" s="18" t="s">
        <v>83</v>
      </c>
    </row>
    <row r="67" spans="2:3" x14ac:dyDescent="0.25">
      <c r="B67" s="18" t="s">
        <v>84</v>
      </c>
    </row>
    <row r="68" spans="2:3" x14ac:dyDescent="0.25">
      <c r="B68" s="18" t="s">
        <v>85</v>
      </c>
    </row>
    <row r="75" spans="2:3" x14ac:dyDescent="0.25">
      <c r="B75" s="25" t="s">
        <v>70</v>
      </c>
      <c r="C75" s="25"/>
    </row>
    <row r="76" spans="2:3" x14ac:dyDescent="0.25">
      <c r="B76" s="17" t="s">
        <v>73</v>
      </c>
    </row>
    <row r="77" spans="2:3" x14ac:dyDescent="0.25">
      <c r="B77" s="18" t="s">
        <v>86</v>
      </c>
    </row>
    <row r="78" spans="2:3" x14ac:dyDescent="0.25">
      <c r="B78" s="18" t="s">
        <v>87</v>
      </c>
    </row>
    <row r="79" spans="2:3" x14ac:dyDescent="0.25">
      <c r="B79" s="18" t="s">
        <v>88</v>
      </c>
    </row>
    <row r="80" spans="2:3" x14ac:dyDescent="0.25">
      <c r="B80" s="18" t="s">
        <v>89</v>
      </c>
    </row>
    <row r="81" spans="2:5" x14ac:dyDescent="0.25">
      <c r="B81" s="18" t="s">
        <v>90</v>
      </c>
    </row>
    <row r="89" spans="2:5" x14ac:dyDescent="0.25">
      <c r="B89" s="25" t="s">
        <v>91</v>
      </c>
      <c r="C89" s="25"/>
      <c r="D89" s="25"/>
      <c r="E89" s="25"/>
    </row>
    <row r="90" spans="2:5" x14ac:dyDescent="0.25">
      <c r="B90" s="17" t="s">
        <v>92</v>
      </c>
    </row>
    <row r="91" spans="2:5" x14ac:dyDescent="0.25">
      <c r="B91" s="18" t="s">
        <v>40</v>
      </c>
    </row>
    <row r="92" spans="2:5" x14ac:dyDescent="0.25">
      <c r="B92" s="18" t="s">
        <v>93</v>
      </c>
    </row>
    <row r="93" spans="2:5" x14ac:dyDescent="0.25">
      <c r="B93" s="18" t="s">
        <v>94</v>
      </c>
    </row>
    <row r="94" spans="2:5" x14ac:dyDescent="0.25">
      <c r="B94" s="18" t="s">
        <v>95</v>
      </c>
    </row>
    <row r="95" spans="2:5" x14ac:dyDescent="0.25">
      <c r="B95" s="18" t="s">
        <v>96</v>
      </c>
    </row>
    <row r="96" spans="2:5" x14ac:dyDescent="0.25">
      <c r="B96" s="18" t="s">
        <v>97</v>
      </c>
    </row>
    <row r="97" spans="2:2" x14ac:dyDescent="0.25">
      <c r="B97" s="18" t="s">
        <v>98</v>
      </c>
    </row>
    <row r="98" spans="2:2" x14ac:dyDescent="0.25">
      <c r="B98" s="18" t="s">
        <v>99</v>
      </c>
    </row>
    <row r="99" spans="2:2" x14ac:dyDescent="0.25">
      <c r="B99" s="18" t="s">
        <v>100</v>
      </c>
    </row>
    <row r="100" spans="2:2" x14ac:dyDescent="0.25">
      <c r="B100" s="18" t="s">
        <v>101</v>
      </c>
    </row>
    <row r="101" spans="2:2" x14ac:dyDescent="0.25">
      <c r="B101" s="18" t="s">
        <v>102</v>
      </c>
    </row>
    <row r="102" spans="2:2" x14ac:dyDescent="0.25">
      <c r="B102" s="18" t="s">
        <v>103</v>
      </c>
    </row>
    <row r="119" spans="2:5" x14ac:dyDescent="0.25">
      <c r="B119" s="25" t="s">
        <v>104</v>
      </c>
      <c r="C119" s="25"/>
      <c r="D119" s="25"/>
      <c r="E119" s="25"/>
    </row>
    <row r="120" spans="2:5" x14ac:dyDescent="0.25">
      <c r="B120" s="17" t="s">
        <v>105</v>
      </c>
    </row>
    <row r="121" spans="2:5" x14ac:dyDescent="0.25">
      <c r="B121" s="18" t="s">
        <v>41</v>
      </c>
    </row>
    <row r="122" spans="2:5" x14ac:dyDescent="0.25">
      <c r="B122" s="18" t="s">
        <v>106</v>
      </c>
    </row>
    <row r="123" spans="2:5" x14ac:dyDescent="0.25">
      <c r="B123" s="18" t="s">
        <v>107</v>
      </c>
    </row>
    <row r="129" spans="2:5" x14ac:dyDescent="0.25">
      <c r="B129" s="25" t="s">
        <v>108</v>
      </c>
      <c r="C129" s="25"/>
      <c r="D129" s="25"/>
      <c r="E129" s="25"/>
    </row>
    <row r="130" spans="2:5" x14ac:dyDescent="0.25">
      <c r="B130" s="17" t="s">
        <v>109</v>
      </c>
    </row>
    <row r="131" spans="2:5" x14ac:dyDescent="0.25">
      <c r="B131" s="18" t="s">
        <v>44</v>
      </c>
    </row>
    <row r="132" spans="2:5" x14ac:dyDescent="0.25">
      <c r="B132" s="18" t="s">
        <v>110</v>
      </c>
    </row>
    <row r="133" spans="2:5" x14ac:dyDescent="0.25">
      <c r="B133" s="18" t="s">
        <v>111</v>
      </c>
    </row>
    <row r="139" spans="2:5" x14ac:dyDescent="0.25">
      <c r="B139" s="25" t="s">
        <v>112</v>
      </c>
      <c r="C139" s="25"/>
      <c r="D139" s="25"/>
      <c r="E139" s="25"/>
    </row>
    <row r="140" spans="2:5" x14ac:dyDescent="0.25">
      <c r="B140" s="17" t="s">
        <v>113</v>
      </c>
    </row>
    <row r="141" spans="2:5" x14ac:dyDescent="0.25">
      <c r="B141" s="18" t="s">
        <v>45</v>
      </c>
    </row>
    <row r="142" spans="2:5" x14ac:dyDescent="0.25">
      <c r="B142" s="18" t="s">
        <v>114</v>
      </c>
    </row>
    <row r="148" spans="2:5" x14ac:dyDescent="0.25">
      <c r="B148" s="25" t="s">
        <v>115</v>
      </c>
      <c r="C148" s="25"/>
      <c r="D148" s="25"/>
      <c r="E148" s="25"/>
    </row>
    <row r="149" spans="2:5" x14ac:dyDescent="0.25">
      <c r="B149" s="17" t="s">
        <v>116</v>
      </c>
    </row>
    <row r="150" spans="2:5" x14ac:dyDescent="0.25">
      <c r="B150" s="18" t="s">
        <v>117</v>
      </c>
    </row>
    <row r="151" spans="2:5" x14ac:dyDescent="0.25">
      <c r="B151" s="18" t="s">
        <v>42</v>
      </c>
    </row>
    <row r="157" spans="2:5" x14ac:dyDescent="0.25">
      <c r="B157" s="25" t="s">
        <v>118</v>
      </c>
      <c r="C157" s="25"/>
      <c r="D157" s="25"/>
      <c r="E157" s="25"/>
    </row>
    <row r="158" spans="2:5" x14ac:dyDescent="0.25">
      <c r="B158" s="17" t="s">
        <v>119</v>
      </c>
    </row>
    <row r="159" spans="2:5" x14ac:dyDescent="0.25">
      <c r="B159" s="18" t="s">
        <v>120</v>
      </c>
    </row>
    <row r="160" spans="2:5" x14ac:dyDescent="0.25">
      <c r="B160" s="18" t="s">
        <v>121</v>
      </c>
    </row>
    <row r="161" spans="2:5" x14ac:dyDescent="0.25">
      <c r="B161" s="18" t="s">
        <v>122</v>
      </c>
    </row>
    <row r="162" spans="2:5" x14ac:dyDescent="0.25">
      <c r="B162" s="18" t="s">
        <v>123</v>
      </c>
    </row>
    <row r="163" spans="2:5" x14ac:dyDescent="0.25">
      <c r="B163" s="18" t="s">
        <v>124</v>
      </c>
    </row>
    <row r="164" spans="2:5" x14ac:dyDescent="0.25">
      <c r="B164" s="18" t="s">
        <v>125</v>
      </c>
    </row>
    <row r="170" spans="2:5" x14ac:dyDescent="0.25">
      <c r="B170" s="25" t="s">
        <v>126</v>
      </c>
      <c r="C170" s="25"/>
      <c r="D170" s="25"/>
      <c r="E170" s="25"/>
    </row>
    <row r="171" spans="2:5" x14ac:dyDescent="0.25">
      <c r="B171" s="17" t="s">
        <v>127</v>
      </c>
    </row>
    <row r="172" spans="2:5" x14ac:dyDescent="0.25">
      <c r="B172" s="18" t="s">
        <v>128</v>
      </c>
    </row>
    <row r="173" spans="2:5" x14ac:dyDescent="0.25">
      <c r="B173" s="18" t="s">
        <v>129</v>
      </c>
    </row>
    <row r="174" spans="2:5" x14ac:dyDescent="0.25">
      <c r="B174" s="18" t="s">
        <v>130</v>
      </c>
    </row>
    <row r="175" spans="2:5" x14ac:dyDescent="0.25">
      <c r="B175" s="18" t="s">
        <v>131</v>
      </c>
    </row>
    <row r="176" spans="2:5" x14ac:dyDescent="0.25">
      <c r="B176" s="18" t="s">
        <v>132</v>
      </c>
    </row>
    <row r="182" spans="2:5" x14ac:dyDescent="0.25">
      <c r="B182" s="25" t="s">
        <v>133</v>
      </c>
      <c r="C182" s="25"/>
      <c r="D182" s="25"/>
      <c r="E182" s="25"/>
    </row>
    <row r="183" spans="2:5" x14ac:dyDescent="0.25">
      <c r="B183" s="17" t="s">
        <v>48</v>
      </c>
      <c r="C183" s="17" t="s">
        <v>23</v>
      </c>
    </row>
    <row r="184" spans="2:5" x14ac:dyDescent="0.25">
      <c r="B184" s="18" t="s">
        <v>62</v>
      </c>
      <c r="C184" s="18" t="s">
        <v>134</v>
      </c>
    </row>
    <row r="185" spans="2:5" x14ac:dyDescent="0.25">
      <c r="B185" s="18" t="s">
        <v>65</v>
      </c>
      <c r="C185" s="18" t="s">
        <v>135</v>
      </c>
    </row>
    <row r="186" spans="2:5" x14ac:dyDescent="0.25">
      <c r="B186" s="18" t="s">
        <v>136</v>
      </c>
      <c r="C186" s="18" t="s">
        <v>137</v>
      </c>
    </row>
    <row r="187" spans="2:5" x14ac:dyDescent="0.25">
      <c r="B187" s="18" t="s">
        <v>138</v>
      </c>
      <c r="C187" s="18" t="s">
        <v>139</v>
      </c>
    </row>
    <row r="188" spans="2:5" x14ac:dyDescent="0.25">
      <c r="B188" s="18" t="s">
        <v>140</v>
      </c>
      <c r="C188" s="18" t="s">
        <v>141</v>
      </c>
    </row>
    <row r="189" spans="2:5" x14ac:dyDescent="0.25">
      <c r="B189" s="18" t="s">
        <v>142</v>
      </c>
      <c r="C189" s="18" t="s">
        <v>143</v>
      </c>
    </row>
    <row r="190" spans="2:5" x14ac:dyDescent="0.25">
      <c r="B190" s="18" t="s">
        <v>144</v>
      </c>
      <c r="C190" s="18" t="s">
        <v>145</v>
      </c>
    </row>
    <row r="191" spans="2:5" x14ac:dyDescent="0.25">
      <c r="B191" s="18" t="s">
        <v>146</v>
      </c>
      <c r="C191" s="18" t="s">
        <v>147</v>
      </c>
    </row>
    <row r="192" spans="2:5" x14ac:dyDescent="0.25">
      <c r="B192" s="18" t="s">
        <v>148</v>
      </c>
      <c r="C192" s="18" t="s">
        <v>149</v>
      </c>
    </row>
    <row r="195" spans="2:5" x14ac:dyDescent="0.25">
      <c r="B195" s="25" t="s">
        <v>150</v>
      </c>
      <c r="C195" s="25"/>
      <c r="D195" s="25"/>
      <c r="E195" s="25"/>
    </row>
    <row r="196" spans="2:5" x14ac:dyDescent="0.25">
      <c r="B196" s="17" t="s">
        <v>57</v>
      </c>
      <c r="C196" s="17" t="s">
        <v>58</v>
      </c>
      <c r="D196" s="17" t="s">
        <v>151</v>
      </c>
    </row>
    <row r="197" spans="2:5" x14ac:dyDescent="0.25">
      <c r="B197" s="18" t="s">
        <v>152</v>
      </c>
      <c r="C197" s="18" t="s">
        <v>153</v>
      </c>
      <c r="D197" s="18" t="s">
        <v>154</v>
      </c>
    </row>
    <row r="198" spans="2:5" x14ac:dyDescent="0.25">
      <c r="B198" s="18" t="s">
        <v>155</v>
      </c>
      <c r="C198" s="18" t="s">
        <v>156</v>
      </c>
      <c r="D198" s="18" t="s">
        <v>154</v>
      </c>
    </row>
    <row r="199" spans="2:5" x14ac:dyDescent="0.25">
      <c r="B199" s="18" t="s">
        <v>157</v>
      </c>
      <c r="C199" s="18" t="s">
        <v>158</v>
      </c>
      <c r="D199" s="18" t="s">
        <v>154</v>
      </c>
    </row>
    <row r="200" spans="2:5" x14ac:dyDescent="0.25">
      <c r="B200" s="18" t="s">
        <v>159</v>
      </c>
      <c r="C200" s="18" t="s">
        <v>160</v>
      </c>
      <c r="D200" s="18" t="s">
        <v>161</v>
      </c>
    </row>
    <row r="201" spans="2:5" x14ac:dyDescent="0.25">
      <c r="B201" s="18" t="s">
        <v>162</v>
      </c>
      <c r="C201" s="18" t="s">
        <v>163</v>
      </c>
      <c r="D201" s="18" t="s">
        <v>164</v>
      </c>
    </row>
    <row r="202" spans="2:5" x14ac:dyDescent="0.25">
      <c r="B202" s="18" t="s">
        <v>165</v>
      </c>
      <c r="C202" s="18" t="s">
        <v>166</v>
      </c>
      <c r="D202" s="18" t="s">
        <v>164</v>
      </c>
    </row>
    <row r="203" spans="2:5" x14ac:dyDescent="0.25">
      <c r="B203" s="18" t="s">
        <v>167</v>
      </c>
      <c r="C203" s="18" t="s">
        <v>168</v>
      </c>
      <c r="D203" s="18" t="s">
        <v>169</v>
      </c>
    </row>
    <row r="204" spans="2:5" x14ac:dyDescent="0.25">
      <c r="B204" s="18" t="s">
        <v>170</v>
      </c>
      <c r="C204" s="18" t="s">
        <v>171</v>
      </c>
      <c r="D204" s="18" t="s">
        <v>172</v>
      </c>
    </row>
    <row r="205" spans="2:5" x14ac:dyDescent="0.25">
      <c r="B205" s="18" t="s">
        <v>173</v>
      </c>
      <c r="C205" s="18" t="s">
        <v>174</v>
      </c>
      <c r="D205" s="18" t="s">
        <v>175</v>
      </c>
    </row>
    <row r="206" spans="2:5" x14ac:dyDescent="0.25">
      <c r="B206" s="18" t="s">
        <v>176</v>
      </c>
      <c r="C206" s="18" t="s">
        <v>177</v>
      </c>
      <c r="D206" s="18" t="s">
        <v>178</v>
      </c>
    </row>
    <row r="207" spans="2:5" x14ac:dyDescent="0.25">
      <c r="B207" s="18" t="s">
        <v>179</v>
      </c>
      <c r="C207" s="18" t="s">
        <v>180</v>
      </c>
      <c r="D207" s="18" t="s">
        <v>181</v>
      </c>
    </row>
    <row r="208" spans="2:5" x14ac:dyDescent="0.25">
      <c r="B208" s="18" t="s">
        <v>182</v>
      </c>
      <c r="C208" s="18" t="s">
        <v>183</v>
      </c>
      <c r="D208" s="18" t="s">
        <v>169</v>
      </c>
    </row>
    <row r="209" spans="2:4" x14ac:dyDescent="0.25">
      <c r="B209" s="18" t="s">
        <v>184</v>
      </c>
      <c r="C209" s="18" t="s">
        <v>185</v>
      </c>
      <c r="D209" s="18" t="s">
        <v>169</v>
      </c>
    </row>
    <row r="210" spans="2:4" x14ac:dyDescent="0.25">
      <c r="B210" s="18" t="s">
        <v>186</v>
      </c>
      <c r="C210" s="18" t="s">
        <v>187</v>
      </c>
      <c r="D210" s="18" t="s">
        <v>178</v>
      </c>
    </row>
    <row r="211" spans="2:4" x14ac:dyDescent="0.25">
      <c r="B211" s="18" t="s">
        <v>188</v>
      </c>
      <c r="C211" s="18" t="s">
        <v>153</v>
      </c>
      <c r="D211" s="18" t="s">
        <v>154</v>
      </c>
    </row>
    <row r="212" spans="2:4" x14ac:dyDescent="0.25">
      <c r="B212" s="18" t="s">
        <v>189</v>
      </c>
      <c r="C212" s="18" t="s">
        <v>156</v>
      </c>
      <c r="D212" s="18" t="s">
        <v>154</v>
      </c>
    </row>
    <row r="213" spans="2:4" x14ac:dyDescent="0.25">
      <c r="B213" s="18" t="s">
        <v>190</v>
      </c>
      <c r="C213" s="18" t="s">
        <v>158</v>
      </c>
      <c r="D213" s="18" t="s">
        <v>154</v>
      </c>
    </row>
    <row r="214" spans="2:4" x14ac:dyDescent="0.25">
      <c r="B214" s="18" t="s">
        <v>191</v>
      </c>
      <c r="C214" s="18" t="s">
        <v>160</v>
      </c>
      <c r="D214" s="18" t="s">
        <v>161</v>
      </c>
    </row>
    <row r="215" spans="2:4" x14ac:dyDescent="0.25">
      <c r="B215" s="18" t="s">
        <v>192</v>
      </c>
      <c r="C215" s="18" t="s">
        <v>163</v>
      </c>
      <c r="D215" s="18" t="s">
        <v>164</v>
      </c>
    </row>
    <row r="216" spans="2:4" x14ac:dyDescent="0.25">
      <c r="B216" s="18" t="s">
        <v>193</v>
      </c>
      <c r="C216" s="18" t="s">
        <v>166</v>
      </c>
      <c r="D216" s="18" t="s">
        <v>164</v>
      </c>
    </row>
    <row r="217" spans="2:4" x14ac:dyDescent="0.25">
      <c r="B217" s="18" t="s">
        <v>194</v>
      </c>
      <c r="C217" s="18" t="s">
        <v>168</v>
      </c>
      <c r="D217" s="18" t="s">
        <v>169</v>
      </c>
    </row>
    <row r="218" spans="2:4" x14ac:dyDescent="0.25">
      <c r="B218" s="18" t="s">
        <v>195</v>
      </c>
      <c r="C218" s="18" t="s">
        <v>171</v>
      </c>
      <c r="D218" s="18" t="s">
        <v>172</v>
      </c>
    </row>
    <row r="219" spans="2:4" x14ac:dyDescent="0.25">
      <c r="B219" s="18" t="s">
        <v>196</v>
      </c>
      <c r="C219" s="18" t="s">
        <v>174</v>
      </c>
      <c r="D219" s="18" t="s">
        <v>181</v>
      </c>
    </row>
    <row r="220" spans="2:4" x14ac:dyDescent="0.25">
      <c r="B220" s="18" t="s">
        <v>197</v>
      </c>
      <c r="C220" s="18" t="s">
        <v>177</v>
      </c>
      <c r="D220" s="18" t="s">
        <v>198</v>
      </c>
    </row>
    <row r="221" spans="2:4" x14ac:dyDescent="0.25">
      <c r="B221" s="18" t="s">
        <v>199</v>
      </c>
      <c r="C221" s="18" t="s">
        <v>185</v>
      </c>
      <c r="D221" s="18" t="s">
        <v>169</v>
      </c>
    </row>
    <row r="222" spans="2:4" x14ac:dyDescent="0.25">
      <c r="B222" s="18" t="s">
        <v>200</v>
      </c>
      <c r="C222" s="18" t="s">
        <v>187</v>
      </c>
      <c r="D222" s="18" t="s">
        <v>172</v>
      </c>
    </row>
  </sheetData>
  <mergeCells count="19">
    <mergeCell ref="B157:E157"/>
    <mergeCell ref="B170:E170"/>
    <mergeCell ref="B182:E182"/>
    <mergeCell ref="B195:E195"/>
    <mergeCell ref="B89:E89"/>
    <mergeCell ref="B119:E119"/>
    <mergeCell ref="B129:E129"/>
    <mergeCell ref="B139:E139"/>
    <mergeCell ref="B148:E148"/>
    <mergeCell ref="B26:C26"/>
    <mergeCell ref="B35:C35"/>
    <mergeCell ref="B44:C44"/>
    <mergeCell ref="B56:C56"/>
    <mergeCell ref="B75:C75"/>
    <mergeCell ref="B1:E1"/>
    <mergeCell ref="B4:E4"/>
    <mergeCell ref="B8:E8"/>
    <mergeCell ref="B24:E24"/>
    <mergeCell ref="B25:E25"/>
  </mergeCells>
  <pageMargins left="0.75" right="0.75" top="1" bottom="1" header="0.511811023622047" footer="0.511811023622047"/>
  <pageSetup paperSize="9" orientation="portrait" horizontalDpi="300" verticalDpi="300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00 Guía</vt:lpstr>
      <vt:lpstr>Artículos</vt:lpstr>
      <vt:lpstr>Atributos</vt:lpstr>
      <vt:lpstr>Stock Mínimo</vt:lpstr>
      <vt:lpstr>Códigos de Barras</vt:lpstr>
      <vt:lpstr>Configuraciones</vt:lpstr>
      <vt:lpstr>ALM_COD</vt:lpstr>
      <vt:lpstr>ALM_NOM</vt:lpstr>
      <vt:lpstr>ALM_SEDE</vt:lpstr>
      <vt:lpstr>GRUPO_NOMBRE</vt:lpstr>
      <vt:lpstr>PREFIJO</vt:lpstr>
      <vt:lpstr>VACIO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OC</cp:lastModifiedBy>
  <cp:revision>0</cp:revision>
  <dcterms:created xsi:type="dcterms:W3CDTF">2026-08-13T05:20:14Z</dcterms:created>
  <dcterms:modified xsi:type="dcterms:W3CDTF">2026-09-04T02:04:25Z</dcterms:modified>
  <dc:language>en-US</dc:language>
</cp:coreProperties>
</file>