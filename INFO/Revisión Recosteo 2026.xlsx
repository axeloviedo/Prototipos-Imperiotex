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osteo x ALM" sheetId="1" r:id="rId4"/>
    <sheet state="visible" name="Estructura OF" sheetId="2" r:id="rId5"/>
    <sheet state="visible" name="Hoja 10" sheetId="3" r:id="rId6"/>
    <sheet state="visible" name="Sesión 0901" sheetId="4" r:id="rId7"/>
    <sheet state="visible" name="Manejo de stock" sheetId="5" r:id="rId8"/>
    <sheet state="visible" name="Consumo de Insumo OF" sheetId="6" r:id="rId9"/>
    <sheet state="visible" name="Asiento" sheetId="7" r:id="rId10"/>
    <sheet state="visible" name="Resumen" sheetId="8" r:id="rId11"/>
    <sheet state="visible" name="Factura" sheetId="9" r:id="rId12"/>
    <sheet state="visible" name="Consultas Contador" sheetId="10" r:id="rId13"/>
    <sheet state="visible" name="% Rendimiento" sheetId="11" r:id="rId14"/>
    <sheet state="visible" name="Revisar antes de reunión" sheetId="12" r:id="rId15"/>
    <sheet state="visible" name="Hoja 8" sheetId="13" r:id="rId16"/>
    <sheet state="visible" name="Hoja 11" sheetId="14" r:id="rId17"/>
    <sheet state="visible" name="Hoja 9" sheetId="15" r:id="rId18"/>
  </sheets>
  <definedNames/>
  <calcPr/>
  <extLst>
    <ext uri="GoogleSheetsCustomDataVersion2">
      <go:sheetsCustomData xmlns:go="http://customooxmlschemas.google.com/" r:id="rId19" roundtripDataChecksum="Kfad5UZtDXokDNUQU0qeCKgSaIgMt+w/KDxxemspmQ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42">
      <text>
        <t xml:space="preserve">======
ID#AAAB9A30E_Q
PChacon    (2026-06-09 12:18:37)
Nota: Es la suma del costo teórico del recurso y el costo del insumo del consumo</t>
      </text>
    </comment>
    <comment authorId="0" ref="P42">
      <text>
        <t xml:space="preserve">======
ID#AAAB9A30E_A
PChacon    (2026-06-09 12:18:37)
Nota: Es la suma del gasto indirecto global con el gasto directo de cada almacén</t>
      </text>
    </comment>
  </commentList>
  <extLst>
    <ext uri="GoogleSheetsCustomDataVersion2">
      <go:sheetsCustomData xmlns:go="http://customooxmlschemas.google.com/" r:id="rId1" roundtripDataSignature="AMtx7mjwq9hnsv/1yevjg1cUJFNLqRP8Qg=="/>
    </ext>
  </extLst>
</comments>
</file>

<file path=xl/sharedStrings.xml><?xml version="1.0" encoding="utf-8"?>
<sst xmlns="http://schemas.openxmlformats.org/spreadsheetml/2006/main" count="758" uniqueCount="348">
  <si>
    <t>Consulta</t>
  </si>
  <si>
    <t>PT0001</t>
  </si>
  <si>
    <t>Recosteo</t>
  </si>
  <si>
    <t>OF</t>
  </si>
  <si>
    <t>Respuesta</t>
  </si>
  <si>
    <t>Cantidad de Recurso Consumido</t>
  </si>
  <si>
    <t>Cantidad</t>
  </si>
  <si>
    <t>Jean Camila</t>
  </si>
  <si>
    <t>Deben creen un artículo por cada tela y marca como una combinación</t>
  </si>
  <si>
    <t>Preguntas</t>
  </si>
  <si>
    <t>Lista de materiales es la formula o receta que se convierte en OF pero puedes agregar o sustituir componentes de la OF creada</t>
  </si>
  <si>
    <t>PI0001</t>
  </si>
  <si>
    <t>Centro de Costo</t>
  </si>
  <si>
    <t>Jean Lavado  Camila</t>
  </si>
  <si>
    <t>Un proceso de logistica es generar solicitudes de compra u Ordenes de compra para producción, esto es al saber lo se desea fabricar verificar stock y comprar lo que falta</t>
  </si>
  <si>
    <t>¿Fabrican para tener stock abastecido?</t>
  </si>
  <si>
    <t>PI0002</t>
  </si>
  <si>
    <t>Jean Crudo Camila</t>
  </si>
  <si>
    <t>Se puede iniciar la fabricación si  tener todos los materiales para la fabricación completa.</t>
  </si>
  <si>
    <t>Stock minimo (Logistica) materia prima e insumos</t>
  </si>
  <si>
    <t>MP001</t>
  </si>
  <si>
    <t>Stock disponible = stock actual  - stock reservado</t>
  </si>
  <si>
    <t>Tela Rollo</t>
  </si>
  <si>
    <t>stock comprometido, stock disponible</t>
  </si>
  <si>
    <t>Almacén</t>
  </si>
  <si>
    <t>Tener dos tablas una para los ingresos de almacén y otro para salidas</t>
  </si>
  <si>
    <t>PI0003</t>
  </si>
  <si>
    <t>Tela shorts</t>
  </si>
  <si>
    <t>PROD01A</t>
  </si>
  <si>
    <t>A la OF que se terciariza colocar un campo de usuario para indicar que es un servicio terciarizado y otro campo para saber el insumo referencia</t>
  </si>
  <si>
    <t xml:space="preserve">ID </t>
  </si>
  <si>
    <t>Jean Camila color Azul 28</t>
  </si>
  <si>
    <t>Si deben manejar el concepto de lotes</t>
  </si>
  <si>
    <t>01</t>
  </si>
  <si>
    <t>OF0001A</t>
  </si>
  <si>
    <t>PROD01B</t>
  </si>
  <si>
    <t>Operaciones de inventario</t>
  </si>
  <si>
    <t>Costo de un artículo es por almacen y artículo y sólo artículo</t>
  </si>
  <si>
    <t>02</t>
  </si>
  <si>
    <t>Almacenes (fisico , virtual)</t>
  </si>
  <si>
    <t>Promedio ponderado</t>
  </si>
  <si>
    <t>PT0002</t>
  </si>
  <si>
    <t>PRODTAA</t>
  </si>
  <si>
    <t>Jean Camila color Rojo 28</t>
  </si>
  <si>
    <t xml:space="preserve">La OF debe tener tres estados planificado, liberado y cerrado </t>
  </si>
  <si>
    <t>Cuando la OF cambia de planificado a cerrado se compromete stock</t>
  </si>
  <si>
    <t>Es un centro de costo de todos los almacenes</t>
  </si>
  <si>
    <t>Acabado</t>
  </si>
  <si>
    <t>OF0002A</t>
  </si>
  <si>
    <t xml:space="preserve">Al comprometer stock se compromete todo así no se tenga suficiente para  que sepan cuánto hay que comprar. Pero eso genera que en stock disponible aparezca negativo </t>
  </si>
  <si>
    <t>PROD02A</t>
  </si>
  <si>
    <t>Inicio</t>
  </si>
  <si>
    <t>PT0003</t>
  </si>
  <si>
    <t>Otro camino es que al liberar la OF verificar stock disponible y si no tienen stock no liberarla. Esto asegura que la producción no se detenga por falta de insumos o materias primas</t>
  </si>
  <si>
    <t>Es un centro de costo del almacén 01  pero como no se asigna en el consumo, es un gasto indirecto del almacén 01</t>
  </si>
  <si>
    <t>Fin</t>
  </si>
  <si>
    <t>Jean Camila color Rojo 30</t>
  </si>
  <si>
    <t>PROD07A</t>
  </si>
  <si>
    <t>Almacen en transito (No permite vender) flag traslado a grandes distancias</t>
  </si>
  <si>
    <t>03</t>
  </si>
  <si>
    <t>OF0003A</t>
  </si>
  <si>
    <t>Producto</t>
  </si>
  <si>
    <t>PROD07B</t>
  </si>
  <si>
    <t>Es un centro de costo del almacén 03  pero como no se asigna en el consumo, es un gasto indirecto del almacén 03</t>
  </si>
  <si>
    <t>Desean manejar un solo almacen para materia prima y PT o diferenciarlos</t>
  </si>
  <si>
    <t>PROD08A</t>
  </si>
  <si>
    <t>Jean Lavado  Camila 28</t>
  </si>
  <si>
    <t>Canridad a Producir</t>
  </si>
  <si>
    <t>04</t>
  </si>
  <si>
    <t>OF0001B</t>
  </si>
  <si>
    <t>PROD08B</t>
  </si>
  <si>
    <t>Es un centro de costo del almacén 04  pero como no se asigna en el consumo, es un gasto indirecto del almacén 04</t>
  </si>
  <si>
    <t>Ingreso PT</t>
  </si>
  <si>
    <t>PROD05A</t>
  </si>
  <si>
    <t>Ingreso de producto terminado</t>
  </si>
  <si>
    <t>05</t>
  </si>
  <si>
    <t>OF0002B</t>
  </si>
  <si>
    <t>Recosteo por articulo o por almacen?</t>
  </si>
  <si>
    <t>PI0004</t>
  </si>
  <si>
    <t>Jean Lavado  Camila 30</t>
  </si>
  <si>
    <t>Artículo</t>
  </si>
  <si>
    <t>OF0003B</t>
  </si>
  <si>
    <t>Costo promedio ponderado</t>
  </si>
  <si>
    <t>Jean Crudo Camila 28</t>
  </si>
  <si>
    <t>OF0001C</t>
  </si>
  <si>
    <t>Secuencia</t>
  </si>
  <si>
    <t>PROD06A</t>
  </si>
  <si>
    <t>Detalle</t>
  </si>
  <si>
    <t>06</t>
  </si>
  <si>
    <t>Descripción</t>
  </si>
  <si>
    <t>PTPROD26A</t>
  </si>
  <si>
    <t>Unidad Medida</t>
  </si>
  <si>
    <t>Recosteo Cantidad recurso consumido</t>
  </si>
  <si>
    <t>OF0002C</t>
  </si>
  <si>
    <t>PTPROD26B</t>
  </si>
  <si>
    <t>PI0005</t>
  </si>
  <si>
    <t>Jean Crudo Camila 30</t>
  </si>
  <si>
    <t>Jean Lavado</t>
  </si>
  <si>
    <t>OF0003C</t>
  </si>
  <si>
    <t>Unidad</t>
  </si>
  <si>
    <t>Emisión de producción / Salidas de inventario</t>
  </si>
  <si>
    <t>¿si la merma es reuzable?</t>
  </si>
  <si>
    <t>Insumo</t>
  </si>
  <si>
    <t>Recomendar fabricar un poco más de lo necesario</t>
  </si>
  <si>
    <t>Recurso</t>
  </si>
  <si>
    <t>Registrar tabla en tablas de saldo</t>
  </si>
  <si>
    <t>Recosteo del 01/04 - 30/04, se necesita saber el stock al 30/04</t>
  </si>
  <si>
    <t>preguntar que otros procesos</t>
  </si>
  <si>
    <t>Lavado</t>
  </si>
  <si>
    <t>PTPROD26C</t>
  </si>
  <si>
    <t>PTPROD26D</t>
  </si>
  <si>
    <t>más porcentaje de planificación</t>
  </si>
  <si>
    <t>PTPROD26E</t>
  </si>
  <si>
    <t>PTPROD26F</t>
  </si>
  <si>
    <t>Jean Crudo</t>
  </si>
  <si>
    <t>Consumo</t>
  </si>
  <si>
    <t>Costo de Venta</t>
  </si>
  <si>
    <t>PT</t>
  </si>
  <si>
    <t>OF004A</t>
  </si>
  <si>
    <t>Costo / Unidad</t>
  </si>
  <si>
    <t>Costo</t>
  </si>
  <si>
    <t>Maestros de Recursos</t>
  </si>
  <si>
    <t>Dimensión 02</t>
  </si>
  <si>
    <t>OF004B</t>
  </si>
  <si>
    <t>Dimensión (Producción)</t>
  </si>
  <si>
    <t>Cantidad Vendida</t>
  </si>
  <si>
    <t>Cuenta Contable</t>
  </si>
  <si>
    <t>Precio Venta</t>
  </si>
  <si>
    <t>INS001</t>
  </si>
  <si>
    <t>DocNum SAP</t>
  </si>
  <si>
    <t>Hilos</t>
  </si>
  <si>
    <t>Tipo Documento</t>
  </si>
  <si>
    <t>metros</t>
  </si>
  <si>
    <t>REC26A01</t>
  </si>
  <si>
    <t>REC001</t>
  </si>
  <si>
    <t>C001</t>
  </si>
  <si>
    <t>Maquina cortado</t>
  </si>
  <si>
    <t>Cortador</t>
  </si>
  <si>
    <t>horas</t>
  </si>
  <si>
    <t>SubProductos</t>
  </si>
  <si>
    <t>tela</t>
  </si>
  <si>
    <t>Ingreso de inventario</t>
  </si>
  <si>
    <t>Devolución de produción / Ingreso de inventario</t>
  </si>
  <si>
    <t>Factura</t>
  </si>
  <si>
    <t>INS26A01</t>
  </si>
  <si>
    <t>REC26B01</t>
  </si>
  <si>
    <t>Operaciones</t>
  </si>
  <si>
    <t>Stock Actual</t>
  </si>
  <si>
    <t>Salida INV</t>
  </si>
  <si>
    <t>INS26B01</t>
  </si>
  <si>
    <t>Stock Comprometido</t>
  </si>
  <si>
    <t>Stock Disponible</t>
  </si>
  <si>
    <t>Insumo01</t>
  </si>
  <si>
    <t>Compra</t>
  </si>
  <si>
    <t>REC26A02</t>
  </si>
  <si>
    <t>OF que involucra Insumo01</t>
  </si>
  <si>
    <t>Cancelas la OF que involucra el insumo</t>
  </si>
  <si>
    <t>Entrega</t>
  </si>
  <si>
    <t>INS26A02</t>
  </si>
  <si>
    <t>Movimiento</t>
  </si>
  <si>
    <t>REC26A07</t>
  </si>
  <si>
    <t>Tipo de Mov</t>
  </si>
  <si>
    <t>INS26A07</t>
  </si>
  <si>
    <t>I</t>
  </si>
  <si>
    <t>S</t>
  </si>
  <si>
    <t>?</t>
  </si>
  <si>
    <t>Cabecera</t>
  </si>
  <si>
    <t>Producto01</t>
  </si>
  <si>
    <t>REC26A08</t>
  </si>
  <si>
    <t>INS26A08</t>
  </si>
  <si>
    <t>REC26A05</t>
  </si>
  <si>
    <t>INS26E01</t>
  </si>
  <si>
    <t>Fecha</t>
  </si>
  <si>
    <t>REC26A06</t>
  </si>
  <si>
    <t>Tela por cortar</t>
  </si>
  <si>
    <t>Fecha en la cual entregaste tela a proveedor</t>
  </si>
  <si>
    <t>Tela cortada</t>
  </si>
  <si>
    <t>INS26F01</t>
  </si>
  <si>
    <t>Fecha en la cual te entregaron tela</t>
  </si>
  <si>
    <t>Gastos</t>
  </si>
  <si>
    <t>Cantidad Recurso Consumido x Almacén</t>
  </si>
  <si>
    <t>Gastos x PT</t>
  </si>
  <si>
    <t>Gasto Real</t>
  </si>
  <si>
    <t>Cta Contable</t>
  </si>
  <si>
    <t>Importe</t>
  </si>
  <si>
    <t>Cantidad Recurso</t>
  </si>
  <si>
    <t>Cant Recurso x Almacén</t>
  </si>
  <si>
    <t>Gasto Teórico</t>
  </si>
  <si>
    <t>Gasto D</t>
  </si>
  <si>
    <t>Gasto I</t>
  </si>
  <si>
    <t>Tabla de Movimiento Salida Almacén</t>
  </si>
  <si>
    <t>ID Operación</t>
  </si>
  <si>
    <t>Linea</t>
  </si>
  <si>
    <t>Precio Unitario</t>
  </si>
  <si>
    <t>Insumo02</t>
  </si>
  <si>
    <t>Tabla de Movimiento Ingreso Almacén</t>
  </si>
  <si>
    <t>Maestro Centro</t>
  </si>
  <si>
    <t>Total</t>
  </si>
  <si>
    <t>ALM ZARATE</t>
  </si>
  <si>
    <t>Espacio fisico</t>
  </si>
  <si>
    <t>X</t>
  </si>
  <si>
    <t>ZARA</t>
  </si>
  <si>
    <t>Catina</t>
  </si>
  <si>
    <t>ALM</t>
  </si>
  <si>
    <t>Gasto</t>
  </si>
  <si>
    <t>Recibo Luz</t>
  </si>
  <si>
    <t>Tabla Lotes</t>
  </si>
  <si>
    <t>Lote</t>
  </si>
  <si>
    <t>stock</t>
  </si>
  <si>
    <t>Fecha Vencimiento</t>
  </si>
  <si>
    <t>Detalle de lotes</t>
  </si>
  <si>
    <t>Asiento diario</t>
  </si>
  <si>
    <t>Ingreso</t>
  </si>
  <si>
    <t>Producción</t>
  </si>
  <si>
    <t>Salida</t>
  </si>
  <si>
    <t>Cuenta</t>
  </si>
  <si>
    <t>Debe</t>
  </si>
  <si>
    <t>Haber</t>
  </si>
  <si>
    <t>Dimension 01</t>
  </si>
  <si>
    <t>Dimension 02</t>
  </si>
  <si>
    <t>Dimension 03</t>
  </si>
  <si>
    <t>Dimension 04</t>
  </si>
  <si>
    <t>Dimension 05</t>
  </si>
  <si>
    <t>proveedor</t>
  </si>
  <si>
    <t>IGV</t>
  </si>
  <si>
    <t>gasto</t>
  </si>
  <si>
    <t>debe</t>
  </si>
  <si>
    <t>haber</t>
  </si>
  <si>
    <t>dimension 1</t>
  </si>
  <si>
    <t>dimension 2</t>
  </si>
  <si>
    <t>dimension 3</t>
  </si>
  <si>
    <t>dimension 4</t>
  </si>
  <si>
    <t>dimension 5</t>
  </si>
  <si>
    <t>C0002</t>
  </si>
  <si>
    <t>Salida Recurso</t>
  </si>
  <si>
    <t>Movimiento de ALM Egreso</t>
  </si>
  <si>
    <t>Costo Unitario</t>
  </si>
  <si>
    <t>XXXXX</t>
  </si>
  <si>
    <t>C0001</t>
  </si>
  <si>
    <t>Gasto Directo</t>
  </si>
  <si>
    <t>Gasto Indirecto</t>
  </si>
  <si>
    <t>Parametros Generales Producción</t>
  </si>
  <si>
    <t>Maestro Almacén</t>
  </si>
  <si>
    <t>1. Asignar Dimension Producción (Recomendado)</t>
  </si>
  <si>
    <t>1. Indicador para que intervenga en recosteo</t>
  </si>
  <si>
    <t>2. Cuenta de costo de Venta</t>
  </si>
  <si>
    <t>Maestro Recursos</t>
  </si>
  <si>
    <t>Maestro Centro de Costo</t>
  </si>
  <si>
    <t>1. Debe tener el costo por unidad de consumo</t>
  </si>
  <si>
    <t>1. Campo para asociar aun almacén. Asociar un almacén no es obligatorio, en caso no tenga se considera como un gasto indirecto como el recibo de luz que aplica a los almacenes</t>
  </si>
  <si>
    <t>2. Indicador para que intervenga en recosteo</t>
  </si>
  <si>
    <t>Plan Contable</t>
  </si>
  <si>
    <t>3. Basado en lo como lo trabaja el cliente el concepto actual que tiene de centro de costo padre pasa a ser una dimensión y los centros de costo, simplemente son centro de costos</t>
  </si>
  <si>
    <t>4. Debe tener un campo que indique a que dimensión esta asociado y se debe validar que sólo se registre en esa dimensión</t>
  </si>
  <si>
    <t>Maestro Artículos</t>
  </si>
  <si>
    <t>5. Deben definir cuantas dimensiones tendrá su producto(software)</t>
  </si>
  <si>
    <t>1. Debe se un solo maestro para cualquier artículo inventariable</t>
  </si>
  <si>
    <t>2. En consecuencia el control de inventarios (Saldos) debe ser en una sola tabla</t>
  </si>
  <si>
    <t>Maestros Servicios</t>
  </si>
  <si>
    <t>3. En el maestro de artículos definir grupos como producto terminado, producto intermedio, materia prima, etc basicamente se usa para asignar cuentas contables que van a mover existencias o las diferentes operaciones a nivel de asientos</t>
  </si>
  <si>
    <t>1. Es un código de gasto que se debe usar al provisionar la compra o el gasto</t>
  </si>
  <si>
    <t>2. Debe tener indicado una cuenta contable, esta cuenta contable generará el asiento del gasto</t>
  </si>
  <si>
    <t>Asientos</t>
  </si>
  <si>
    <t>1. Los centros de costo deben estar en el detalle en la columna de cada dimensión según corresponda</t>
  </si>
  <si>
    <t>Sugerencias de Flujo de Producción</t>
  </si>
  <si>
    <t>1. El orden de las secciones debe ser inverso, comienza con comercial, continua con logistica, etc. Es un tema orden al visualizar el diagrama</t>
  </si>
  <si>
    <t>2. En la sección de "muestreo &gt; 2" ¿si no pasa el muestro almacenan o registran la muestra? Veo que ahi finaliza el proceso ¿pero no deberia comenzar denuevo una nueva fabricación de muestra?, el hecho que finalice significa que ya no se va continuar con la producción. De alguna manera se debe indicar un tema de continuidad. Veo que estan diagramando el proceso con metodologia BPMN para pasar entre tareas lejanas para no saturar el diagrama pueden usar conectores de tipo link</t>
  </si>
  <si>
    <t>3. Entiendo que el flujo es como estan trabajando actualmente</t>
  </si>
  <si>
    <t>Gerencia General</t>
  </si>
  <si>
    <t>Principal</t>
  </si>
  <si>
    <t>Administración y Fianzas</t>
  </si>
  <si>
    <t>Cuenta Mayor</t>
  </si>
  <si>
    <t>Impuesto</t>
  </si>
  <si>
    <t>Consultas Relevamiento Contador</t>
  </si>
  <si>
    <t>Nro</t>
  </si>
  <si>
    <t>Servicio de Lavado</t>
  </si>
  <si>
    <t>602XXX</t>
  </si>
  <si>
    <t>00015032</t>
  </si>
  <si>
    <t>% Rendimiento</t>
  </si>
  <si>
    <t>¿Como se registra contablemente el ingreso al almacén por la compra de la materia prima e insumos ? ¿Lo ingresan a una cuenta de existencia directamente?</t>
  </si>
  <si>
    <t>Servicio de publicidad</t>
  </si>
  <si>
    <t>¿Cuando se necesita el consumir la materia prima e insumos como te enteras de ello ó lo sabes cuando te dan el reporte del ingreso del producto terminado?</t>
  </si>
  <si>
    <t>Cafe</t>
  </si>
  <si>
    <t xml:space="preserve">¿Como asocias el costo de los servicio de terceros (lavanderia, etc) al costo del producto terminado? </t>
  </si>
  <si>
    <t>0001300</t>
  </si>
  <si>
    <t>Adicional a los gastos de compras y servicios terceros ¿hay otros gastos que se involucren? ¿ como los distribuyes por horas, metros  ó porcentaje definido?</t>
  </si>
  <si>
    <t>Cucharada de azucar</t>
  </si>
  <si>
    <t>¿Como distribuyes los gastos generales o gastos indirectos a los costos de producción por ejemplo sueldo del supervisor , mantenimiento de una maquina, luz, etc?</t>
  </si>
  <si>
    <t>¿Cual es la dinamica contable actual para el manejo de la merma? ¿Como lo abordan actualmente hay mermas que desechan o todo lo venden?</t>
  </si>
  <si>
    <t>Que te muestre y entregue la dinamica contable de un mes pasado con respecto a un producto terminado, desde la compra y como asigno los gastos</t>
  </si>
  <si>
    <t>Al menos que te muestre y explique</t>
  </si>
  <si>
    <t>Nota Interna</t>
  </si>
  <si>
    <t>Con la merma no debe haber mayor problema, se puede poner una factura de servicio, sin necesidad de sacar una existencia. Asi el Jean manteniene su costo completo y el dinero entra limpio</t>
  </si>
  <si>
    <t>00015021</t>
  </si>
  <si>
    <t>Medida de cafe</t>
  </si>
  <si>
    <t>Agua</t>
  </si>
  <si>
    <t>Asiento</t>
  </si>
  <si>
    <t>Servicio luz</t>
  </si>
  <si>
    <t>Tienda</t>
  </si>
  <si>
    <t>Administrativo</t>
  </si>
  <si>
    <t>Servicio marketing</t>
  </si>
  <si>
    <t>00014014</t>
  </si>
  <si>
    <t>0001301</t>
  </si>
  <si>
    <t>Tienda San Pedro</t>
  </si>
  <si>
    <t>Contabilidad</t>
  </si>
  <si>
    <t>00015021 Corte taller propio</t>
  </si>
  <si>
    <t>00015022 Corte Taller externo</t>
  </si>
  <si>
    <t>1. Los centros de costo los pueden crear y diferenciar por empresas por almacenes, etc. no hay problema. Simplemente es un tema de orden</t>
  </si>
  <si>
    <t>2. El prototipo debe considerar el realiza ingresos de producto terminado, consumo de recurso, devoluciones</t>
  </si>
  <si>
    <t>3. Revisar la manera de que el prototipo muestre las OF hijas que pueden trabajar en paralelo. La producción no es necesariamente, secuencial puedes tener dos productos intermedios en una sola OF principal y eso deberia apreciarse en su prototipo</t>
  </si>
  <si>
    <t>4. Los pasos para producción normalmenre son</t>
  </si>
  <si>
    <t>a) Pedido de Producción — Comercial registra el pedido.</t>
  </si>
  <si>
    <t>b) Explosionar la lista de materiales (BOM) para generar las Órdenes de Fabricación: OF madre (producto terminado) y OF hija(s) (productos intermedios) - Producción.</t>
  </si>
  <si>
    <t>c) Verificar stock de insumos y materias primas en almacén - Logística.</t>
  </si>
  <si>
    <t>d) Realizar compra (solo si no hay stock suficiente) - Logística.</t>
  </si>
  <si>
    <t>e) Consumir materias primas o insumos según se va produciendo - Producción.</t>
  </si>
  <si>
    <t>f) Devolución de  materias primas o insumos - Producción.</t>
  </si>
  <si>
    <t>g) Consumir recursos (no inventariables: horas máquina, mano de obra, agua, etc.) - Producción.</t>
  </si>
  <si>
    <t>h)Registrar el ingreso del producto terminado o intermedio de esa OF - Producción.</t>
  </si>
  <si>
    <t>i) Cerrar la Orden de Fabricación - Producción.</t>
  </si>
  <si>
    <t>5. Al crear la lista de materiales de producción validar que no exista redundancia, eso significa que para producir A se requiere B y para producir B se requiere A. Eso generaria un bucle infinito en el proceso de recosteo</t>
  </si>
  <si>
    <t>6. Los movimientos de almacén para el ingreso de producto terminado, consumo de producción y devolución deben poder asociarse a una OF y un detalle de la misma</t>
  </si>
  <si>
    <t>7. Debe haber una tabla para el manejo de saldos por almacén por fecha</t>
  </si>
  <si>
    <t>OF_PT1</t>
  </si>
  <si>
    <t>fase01</t>
  </si>
  <si>
    <t>Fase02</t>
  </si>
  <si>
    <t>fase03</t>
  </si>
  <si>
    <t>fase04</t>
  </si>
  <si>
    <t>OF_PI01</t>
  </si>
  <si>
    <t>OF_PI03</t>
  </si>
  <si>
    <t>OF_PI02</t>
  </si>
  <si>
    <t>OF_PI04</t>
  </si>
  <si>
    <t>.</t>
  </si>
  <si>
    <t>8 Horas</t>
  </si>
  <si>
    <t>PTJEANCAMILA</t>
  </si>
  <si>
    <t>OF003</t>
  </si>
  <si>
    <t>Hilo</t>
  </si>
  <si>
    <t>boton</t>
  </si>
  <si>
    <t>PIJEANCAMILA_LAVADO</t>
  </si>
  <si>
    <t>OF002</t>
  </si>
  <si>
    <t>agua</t>
  </si>
  <si>
    <t>PIJEANCAMILA_cortado</t>
  </si>
  <si>
    <t>OF001</t>
  </si>
  <si>
    <t>Infinito</t>
  </si>
  <si>
    <t>Lista Materiales</t>
  </si>
  <si>
    <t>Codigo</t>
  </si>
  <si>
    <t>A0001</t>
  </si>
  <si>
    <t>PK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</si>
</sst>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
  </numFmts>
  <fonts count="15">
    <font>
      <sz val="11.0"/>
      <color theme="1"/>
      <name val="Calibri"/>
      <scheme val="minor"/>
    </font>
    <font>
      <color theme="1"/>
      <name val="Calibri"/>
      <scheme val="minor"/>
    </font>
    <font>
      <b/>
      <sz val="11.0"/>
      <color theme="1"/>
      <name val="Calibri"/>
    </font>
    <font>
      <sz val="11.0"/>
      <color theme="1"/>
      <name val="Calibri"/>
    </font>
    <font>
      <sz val="11.0"/>
      <color rgb="FFFF0000"/>
      <name val="Calibri"/>
    </font>
    <font>
      <b/>
      <color theme="1"/>
      <name val="Calibri"/>
      <scheme val="minor"/>
    </font>
    <font>
      <sz val="11.0"/>
      <color rgb="FF0070C0"/>
      <name val="Calibri"/>
    </font>
    <font>
      <sz val="11.0"/>
      <color rgb="FF00B050"/>
      <name val="Calibri"/>
    </font>
    <font>
      <sz val="11.0"/>
      <color theme="5"/>
      <name val="Calibri"/>
    </font>
    <font>
      <sz val="11.0"/>
      <color rgb="FF1E4E79"/>
      <name val="Calibri"/>
    </font>
    <font>
      <sz val="11.0"/>
      <color rgb="FF7F6000"/>
      <name val="Calibri"/>
    </font>
    <font/>
    <font>
      <sz val="11.0"/>
      <color rgb="FF833C0B"/>
      <name val="Calibri"/>
    </font>
    <font>
      <color rgb="FF222222"/>
      <name val="Monospace"/>
    </font>
    <font>
      <color rgb="FF222222"/>
      <name val="Arial"/>
    </font>
  </fonts>
  <fills count="21">
    <fill>
      <patternFill patternType="none"/>
    </fill>
    <fill>
      <patternFill patternType="lightGray"/>
    </fill>
    <fill>
      <patternFill patternType="solid">
        <fgColor rgb="FFD9E2F3"/>
        <bgColor rgb="FFD9E2F3"/>
      </patternFill>
    </fill>
    <fill>
      <patternFill patternType="solid">
        <fgColor rgb="FFFF9900"/>
        <bgColor rgb="FFFF9900"/>
      </patternFill>
    </fill>
    <fill>
      <patternFill patternType="solid">
        <fgColor rgb="FF00FFFF"/>
        <bgColor rgb="FF00FFFF"/>
      </patternFill>
    </fill>
    <fill>
      <patternFill patternType="solid">
        <fgColor rgb="FF93C47D"/>
        <bgColor rgb="FF93C47D"/>
      </patternFill>
    </fill>
    <fill>
      <patternFill patternType="solid">
        <fgColor rgb="FFD9EAD3"/>
        <bgColor rgb="FFD9EAD3"/>
      </patternFill>
    </fill>
    <fill>
      <patternFill patternType="solid">
        <fgColor theme="0"/>
        <bgColor theme="0"/>
      </patternFill>
    </fill>
    <fill>
      <patternFill patternType="solid">
        <fgColor rgb="FFCFE2F3"/>
        <bgColor rgb="FFCFE2F3"/>
      </patternFill>
    </fill>
    <fill>
      <patternFill patternType="solid">
        <fgColor rgb="FFB6D7A8"/>
        <bgColor rgb="FFB6D7A8"/>
      </patternFill>
    </fill>
    <fill>
      <patternFill patternType="solid">
        <fgColor rgb="FFC9DAF8"/>
        <bgColor rgb="FFC9DAF8"/>
      </patternFill>
    </fill>
    <fill>
      <patternFill patternType="solid">
        <fgColor rgb="FFA4C2F4"/>
        <bgColor rgb="FFA4C2F4"/>
      </patternFill>
    </fill>
    <fill>
      <patternFill patternType="solid">
        <fgColor rgb="FF00FF00"/>
        <bgColor rgb="FF00FF00"/>
      </patternFill>
    </fill>
    <fill>
      <patternFill patternType="solid">
        <fgColor rgb="FF9CC2E5"/>
        <bgColor rgb="FF9CC2E5"/>
      </patternFill>
    </fill>
    <fill>
      <patternFill patternType="solid">
        <fgColor rgb="FF4A86E8"/>
        <bgColor rgb="FF4A86E8"/>
      </patternFill>
    </fill>
    <fill>
      <patternFill patternType="solid">
        <fgColor rgb="FFFFFF00"/>
        <bgColor rgb="FFFFFF00"/>
      </patternFill>
    </fill>
    <fill>
      <patternFill patternType="solid">
        <fgColor rgb="FF6AA84F"/>
        <bgColor rgb="FF6AA84F"/>
      </patternFill>
    </fill>
    <fill>
      <patternFill patternType="solid">
        <fgColor rgb="FFFFD966"/>
        <bgColor rgb="FFFFD966"/>
      </patternFill>
    </fill>
    <fill>
      <patternFill patternType="solid">
        <fgColor rgb="FFFFF2CC"/>
        <bgColor rgb="FFFFF2CC"/>
      </patternFill>
    </fill>
    <fill>
      <patternFill patternType="solid">
        <fgColor rgb="FFFF0000"/>
        <bgColor rgb="FFFF0000"/>
      </patternFill>
    </fill>
    <fill>
      <patternFill patternType="solid">
        <fgColor rgb="FFFFFFFF"/>
        <bgColor rgb="FFFFFFFF"/>
      </patternFill>
    </fill>
  </fills>
  <borders count="4">
    <border/>
    <border>
      <left/>
      <right/>
      <top/>
      <bottom/>
    </border>
    <border>
      <left/>
      <top/>
      <bottom/>
    </border>
    <border>
      <right/>
      <top/>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1" numFmtId="0" xfId="0" applyFont="1"/>
    <xf borderId="1" fillId="2" fontId="3" numFmtId="0" xfId="0" applyBorder="1" applyFill="1" applyFont="1"/>
    <xf borderId="0" fillId="3" fontId="1" numFmtId="0" xfId="0" applyAlignment="1" applyFill="1" applyFont="1">
      <alignment readingOrder="0"/>
    </xf>
    <xf borderId="0" fillId="0" fontId="3" numFmtId="0" xfId="0" applyAlignment="1" applyFont="1">
      <alignment horizontal="left"/>
    </xf>
    <xf quotePrefix="1" borderId="0" fillId="0" fontId="3" numFmtId="0" xfId="0" applyFont="1"/>
    <xf borderId="0" fillId="4" fontId="1" numFmtId="0" xfId="0" applyAlignment="1" applyFill="1" applyFont="1">
      <alignment readingOrder="0"/>
    </xf>
    <xf quotePrefix="1" borderId="0" fillId="0" fontId="4" numFmtId="0" xfId="0" applyFont="1"/>
    <xf borderId="0" fillId="5" fontId="1" numFmtId="0" xfId="0" applyAlignment="1" applyFill="1" applyFont="1">
      <alignment readingOrder="0"/>
    </xf>
    <xf borderId="0" fillId="0" fontId="4" numFmtId="0" xfId="0" applyFont="1"/>
    <xf borderId="0" fillId="0" fontId="5" numFmtId="0" xfId="0" applyAlignment="1" applyFont="1">
      <alignment horizontal="left" readingOrder="0"/>
    </xf>
    <xf borderId="0" fillId="0" fontId="5" numFmtId="0" xfId="0" applyAlignment="1" applyFont="1">
      <alignment readingOrder="0"/>
    </xf>
    <xf quotePrefix="1" borderId="0" fillId="0" fontId="6" numFmtId="0" xfId="0" applyAlignment="1" applyFont="1">
      <alignment horizontal="left"/>
    </xf>
    <xf borderId="0" fillId="0" fontId="1" numFmtId="0" xfId="0" applyAlignment="1" applyFont="1">
      <alignment horizontal="left" readingOrder="0"/>
    </xf>
    <xf borderId="0" fillId="6" fontId="1" numFmtId="0" xfId="0" applyAlignment="1" applyFill="1" applyFont="1">
      <alignment readingOrder="0"/>
    </xf>
    <xf borderId="1" fillId="2" fontId="3" numFmtId="0" xfId="0" applyAlignment="1" applyBorder="1" applyFill="1" applyFont="1">
      <alignment horizontal="center"/>
    </xf>
    <xf borderId="0" fillId="0" fontId="3" numFmtId="0" xfId="0" applyFont="1"/>
    <xf borderId="0" fillId="0" fontId="6" numFmtId="0" xfId="0" applyFont="1"/>
    <xf quotePrefix="1" borderId="0" fillId="0" fontId="6" numFmtId="0" xfId="0" applyFont="1"/>
    <xf borderId="0" fillId="0" fontId="3" numFmtId="0" xfId="0" applyAlignment="1" applyFont="1">
      <alignment horizontal="center"/>
    </xf>
    <xf borderId="0" fillId="0" fontId="7" numFmtId="0" xfId="0" applyFont="1"/>
    <xf quotePrefix="1" borderId="0" fillId="0" fontId="7" numFmtId="0" xfId="0" applyFont="1"/>
    <xf borderId="0" fillId="7" fontId="1" numFmtId="0" xfId="0" applyFill="1" applyFont="1"/>
    <xf borderId="0" fillId="0" fontId="8" numFmtId="0" xfId="0" applyFont="1"/>
    <xf borderId="0" fillId="7" fontId="1" numFmtId="0" xfId="0" applyAlignment="1" applyFill="1" applyFont="1">
      <alignment readingOrder="0"/>
    </xf>
    <xf quotePrefix="1" borderId="0" fillId="0" fontId="8" numFmtId="0" xfId="0" applyFont="1"/>
    <xf borderId="0" fillId="7" fontId="5" numFmtId="0" xfId="0" applyAlignment="1" applyFill="1" applyFont="1">
      <alignment horizontal="left" readingOrder="0"/>
    </xf>
    <xf borderId="0" fillId="0" fontId="9" numFmtId="0" xfId="0" applyFont="1"/>
    <xf borderId="0" fillId="7" fontId="5" numFmtId="0" xfId="0" applyAlignment="1" applyFill="1" applyFont="1">
      <alignment readingOrder="0"/>
    </xf>
    <xf quotePrefix="1" borderId="0" fillId="0" fontId="9" numFmtId="0" xfId="0" applyFont="1"/>
    <xf borderId="0" fillId="0" fontId="10" numFmtId="0" xfId="0" applyFont="1"/>
    <xf quotePrefix="1" borderId="0" fillId="0" fontId="10" numFmtId="0" xfId="0" applyFont="1"/>
    <xf borderId="1" fillId="2" fontId="3" numFmtId="0" xfId="0" applyAlignment="1" applyBorder="1" applyFill="1" applyFont="1">
      <alignment horizontal="center" vertical="center"/>
    </xf>
    <xf borderId="1" fillId="2" fontId="3" numFmtId="0" xfId="0" applyAlignment="1" applyBorder="1" applyFill="1" applyFont="1">
      <alignment horizontal="center" shrinkToFit="0" vertical="center" wrapText="1"/>
    </xf>
    <xf borderId="0" fillId="8" fontId="1" numFmtId="0" xfId="0" applyAlignment="1" applyFill="1" applyFont="1">
      <alignment readingOrder="0"/>
    </xf>
    <xf borderId="0" fillId="0" fontId="4" numFmtId="0" xfId="0" applyAlignment="1" applyFont="1">
      <alignment horizontal="left"/>
    </xf>
    <xf borderId="0" fillId="9" fontId="1" numFmtId="0" xfId="0" applyAlignment="1" applyFill="1" applyFont="1">
      <alignment readingOrder="0"/>
    </xf>
    <xf borderId="0" fillId="0" fontId="6" numFmtId="0" xfId="0" applyAlignment="1" applyFont="1">
      <alignment horizontal="left"/>
    </xf>
    <xf borderId="0" fillId="10" fontId="1" numFmtId="0" xfId="0" applyAlignment="1" applyFill="1" applyFont="1">
      <alignment readingOrder="0" shrinkToFit="0" wrapText="1"/>
    </xf>
    <xf borderId="0" fillId="11" fontId="1" numFmtId="0" xfId="0" applyAlignment="1" applyFill="1" applyFont="1">
      <alignment readingOrder="0" shrinkToFit="0" wrapText="1"/>
    </xf>
    <xf borderId="0" fillId="0" fontId="7" numFmtId="0" xfId="0" applyAlignment="1" applyFont="1">
      <alignment horizontal="left"/>
    </xf>
    <xf borderId="0" fillId="11" fontId="1" numFmtId="0" xfId="0" applyAlignment="1" applyFill="1" applyFont="1">
      <alignment readingOrder="0"/>
    </xf>
    <xf borderId="0" fillId="0" fontId="7" numFmtId="0" xfId="0" applyAlignment="1" applyFont="1">
      <alignment horizontal="right"/>
    </xf>
    <xf borderId="0" fillId="0" fontId="8" numFmtId="0" xfId="0" applyAlignment="1" applyFont="1">
      <alignment horizontal="left"/>
    </xf>
    <xf borderId="0" fillId="12" fontId="1" numFmtId="0" xfId="0" applyFill="1" applyFont="1"/>
    <xf borderId="0" fillId="0" fontId="9" numFmtId="0" xfId="0" applyAlignment="1" applyFont="1">
      <alignment horizontal="left"/>
    </xf>
    <xf borderId="0" fillId="0" fontId="9" numFmtId="0" xfId="0" applyAlignment="1" applyFont="1">
      <alignment horizontal="right"/>
    </xf>
    <xf borderId="0" fillId="0" fontId="1" numFmtId="164" xfId="0" applyAlignment="1" applyFont="1" applyNumberFormat="1">
      <alignment readingOrder="0"/>
    </xf>
    <xf borderId="0" fillId="0" fontId="10" numFmtId="0" xfId="0" applyAlignment="1" applyFont="1">
      <alignment horizontal="left"/>
    </xf>
    <xf borderId="2" fillId="13" fontId="2" numFmtId="0" xfId="0" applyAlignment="1" applyBorder="1" applyFill="1" applyFont="1">
      <alignment horizontal="center"/>
    </xf>
    <xf borderId="3" fillId="0" fontId="11" numFmtId="0" xfId="0" applyBorder="1" applyFont="1"/>
    <xf borderId="0" fillId="0" fontId="3" numFmtId="0" xfId="0" applyAlignment="1" applyFont="1">
      <alignment vertical="center"/>
    </xf>
    <xf borderId="1" fillId="2" fontId="3" numFmtId="0" xfId="0" applyAlignment="1" applyBorder="1" applyFill="1" applyFont="1">
      <alignment vertical="center"/>
    </xf>
    <xf borderId="0" fillId="0" fontId="3" numFmtId="0" xfId="0" applyAlignment="1" applyFont="1">
      <alignment horizontal="right"/>
    </xf>
    <xf borderId="0" fillId="0" fontId="3" numFmtId="2" xfId="0" applyFont="1" applyNumberFormat="1"/>
    <xf borderId="0" fillId="0" fontId="4" numFmtId="2" xfId="0" applyFont="1" applyNumberFormat="1"/>
    <xf borderId="0" fillId="0" fontId="6" numFmtId="2" xfId="0" applyFont="1" applyNumberFormat="1"/>
    <xf borderId="0" fillId="14" fontId="1" numFmtId="0" xfId="0" applyAlignment="1" applyFill="1" applyFont="1">
      <alignment readingOrder="0"/>
    </xf>
    <xf borderId="0" fillId="14" fontId="1" numFmtId="0" xfId="0" applyFill="1" applyFont="1"/>
    <xf borderId="0" fillId="15" fontId="1" numFmtId="0" xfId="0" applyAlignment="1" applyFill="1" applyFont="1">
      <alignment readingOrder="0"/>
    </xf>
    <xf quotePrefix="1" borderId="0" fillId="15" fontId="1" numFmtId="0" xfId="0" applyAlignment="1" applyFill="1" applyFont="1">
      <alignment readingOrder="0"/>
    </xf>
    <xf quotePrefix="1" borderId="0" fillId="0" fontId="1" numFmtId="0" xfId="0" applyAlignment="1" applyFont="1">
      <alignment readingOrder="0"/>
    </xf>
    <xf borderId="0" fillId="0" fontId="3" numFmtId="0" xfId="0" applyAlignment="1" applyFont="1">
      <alignment horizontal="left" readingOrder="0"/>
    </xf>
    <xf quotePrefix="1" borderId="0" fillId="0" fontId="3" numFmtId="0" xfId="0" applyAlignment="1" applyFont="1">
      <alignment readingOrder="0"/>
    </xf>
    <xf borderId="0" fillId="0" fontId="12" numFmtId="0" xfId="0" applyFont="1"/>
    <xf quotePrefix="1" borderId="0" fillId="0" fontId="12" numFmtId="0" xfId="0" applyFont="1"/>
    <xf borderId="0" fillId="12" fontId="1" numFmtId="0" xfId="0" applyAlignment="1" applyFill="1" applyFont="1">
      <alignment readingOrder="0"/>
    </xf>
    <xf quotePrefix="1" borderId="0" fillId="12" fontId="1" numFmtId="0" xfId="0" applyAlignment="1" applyFill="1" applyFont="1">
      <alignment readingOrder="0"/>
    </xf>
    <xf quotePrefix="1" borderId="0" fillId="0" fontId="4" numFmtId="0" xfId="0" applyAlignment="1" applyFont="1">
      <alignment readingOrder="0"/>
    </xf>
    <xf borderId="1" fillId="2" fontId="3" numFmtId="2" xfId="0" applyBorder="1" applyFill="1" applyFont="1" applyNumberFormat="1"/>
    <xf borderId="0" fillId="16" fontId="1" numFmtId="0" xfId="0" applyAlignment="1" applyFill="1" applyFont="1">
      <alignment readingOrder="0"/>
    </xf>
    <xf borderId="0" fillId="17" fontId="1" numFmtId="0" xfId="0" applyAlignment="1" applyFill="1" applyFont="1">
      <alignment readingOrder="0"/>
    </xf>
    <xf borderId="0" fillId="0" fontId="1" numFmtId="0" xfId="0" applyAlignment="1" applyFont="1">
      <alignment readingOrder="0" shrinkToFit="0" wrapText="1"/>
    </xf>
    <xf borderId="0" fillId="0" fontId="1" numFmtId="0" xfId="0" applyAlignment="1" applyFont="1">
      <alignment readingOrder="0" vertical="top"/>
    </xf>
    <xf borderId="0" fillId="9" fontId="5" numFmtId="0" xfId="0" applyAlignment="1" applyFill="1" applyFont="1">
      <alignment horizontal="center" readingOrder="0"/>
    </xf>
    <xf borderId="0" fillId="0" fontId="1" numFmtId="0" xfId="0" applyAlignment="1" applyFont="1">
      <alignment horizontal="center" readingOrder="0"/>
    </xf>
    <xf borderId="0" fillId="18" fontId="1" numFmtId="0" xfId="0" applyAlignment="1" applyFill="1" applyFont="1">
      <alignment readingOrder="0"/>
    </xf>
    <xf borderId="0" fillId="0" fontId="1" numFmtId="0" xfId="0" applyAlignment="1" applyFont="1">
      <alignment horizontal="center"/>
    </xf>
    <xf borderId="0" fillId="19" fontId="1" numFmtId="0" xfId="0" applyFill="1" applyFont="1"/>
    <xf borderId="0" fillId="20" fontId="13" numFmtId="0" xfId="0" applyAlignment="1" applyFill="1" applyFont="1">
      <alignment readingOrder="0"/>
    </xf>
    <xf borderId="0" fillId="20" fontId="14" numFmtId="0" xfId="0" applyAlignment="1" applyFill="1" applyFont="1">
      <alignment readingOrder="0"/>
    </xf>
    <xf borderId="0" fillId="19" fontId="1" numFmtId="0" xfId="0" applyAlignment="1" applyFill="1" applyFont="1">
      <alignment readingOrder="0"/>
    </xf>
    <xf borderId="0" fillId="18" fontId="1" numFmtId="0" xfId="0" applyFill="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0.86"/>
    <col customWidth="1" min="2" max="2" width="13.43"/>
    <col customWidth="1" min="3" max="3" width="14.71"/>
    <col customWidth="1" min="4" max="4" width="9.29"/>
    <col customWidth="1" min="5" max="5" width="14.0"/>
    <col customWidth="1" min="6" max="6" width="15.0"/>
    <col customWidth="1" min="7" max="7" width="10.71"/>
    <col customWidth="1" min="8" max="8" width="15.86"/>
    <col customWidth="1" min="9" max="9" width="15.71"/>
    <col customWidth="1" min="10" max="10" width="1.71"/>
    <col customWidth="1" min="11" max="11" width="16.14"/>
    <col customWidth="1" min="12" max="12" width="10.29"/>
    <col customWidth="1" min="13" max="13" width="9.71"/>
    <col customWidth="1" min="14" max="14" width="13.71"/>
    <col customWidth="1" min="15" max="26" width="10.71"/>
  </cols>
  <sheetData>
    <row r="1" ht="14.25" customHeight="1">
      <c r="B1" s="2" t="s">
        <v>2</v>
      </c>
      <c r="C1" s="3" t="s">
        <v>5</v>
      </c>
      <c r="F1" s="4" t="s">
        <v>12</v>
      </c>
      <c r="G1" s="4" t="s">
        <v>24</v>
      </c>
    </row>
    <row r="2" ht="14.25" customHeight="1">
      <c r="F2" s="6" t="s">
        <v>28</v>
      </c>
      <c r="G2" s="7" t="s">
        <v>33</v>
      </c>
    </row>
    <row r="3" ht="14.25" customHeight="1">
      <c r="F3" s="6" t="s">
        <v>35</v>
      </c>
      <c r="G3" s="9" t="s">
        <v>38</v>
      </c>
    </row>
    <row r="4" ht="14.25" customHeight="1">
      <c r="F4" s="6" t="s">
        <v>42</v>
      </c>
      <c r="G4" s="11"/>
      <c r="H4" s="3" t="s">
        <v>46</v>
      </c>
    </row>
    <row r="5" ht="14.25" customHeight="1">
      <c r="F5" s="6" t="s">
        <v>50</v>
      </c>
      <c r="G5" s="14" t="s">
        <v>33</v>
      </c>
      <c r="H5" s="3" t="s">
        <v>54</v>
      </c>
    </row>
    <row r="6" ht="14.25" customHeight="1">
      <c r="F6" s="6" t="s">
        <v>57</v>
      </c>
      <c r="G6" s="7" t="s">
        <v>59</v>
      </c>
    </row>
    <row r="7" ht="14.25" customHeight="1">
      <c r="F7" s="6" t="s">
        <v>62</v>
      </c>
      <c r="G7" s="7" t="s">
        <v>59</v>
      </c>
      <c r="H7" s="3" t="s">
        <v>63</v>
      </c>
    </row>
    <row r="8" ht="14.25" customHeight="1">
      <c r="F8" s="6" t="s">
        <v>65</v>
      </c>
      <c r="G8" s="7" t="s">
        <v>68</v>
      </c>
    </row>
    <row r="9" ht="14.25" customHeight="1">
      <c r="F9" s="6" t="s">
        <v>70</v>
      </c>
      <c r="G9" s="7" t="s">
        <v>68</v>
      </c>
      <c r="H9" s="3" t="s">
        <v>71</v>
      </c>
    </row>
    <row r="10" ht="14.25" customHeight="1">
      <c r="B10" s="2" t="s">
        <v>72</v>
      </c>
      <c r="F10" s="6" t="s">
        <v>73</v>
      </c>
      <c r="G10" s="7" t="s">
        <v>75</v>
      </c>
    </row>
    <row r="11" ht="14.25" customHeight="1">
      <c r="B11" s="17" t="s">
        <v>80</v>
      </c>
      <c r="C11" s="17" t="s">
        <v>6</v>
      </c>
      <c r="D11" s="17" t="s">
        <v>24</v>
      </c>
      <c r="F11" s="6" t="s">
        <v>86</v>
      </c>
      <c r="G11" s="7" t="s">
        <v>88</v>
      </c>
    </row>
    <row r="12" ht="14.25" customHeight="1">
      <c r="B12" s="3" t="s">
        <v>90</v>
      </c>
      <c r="C12" s="3">
        <v>100.0</v>
      </c>
      <c r="D12" s="7" t="s">
        <v>33</v>
      </c>
    </row>
    <row r="13" ht="14.25" customHeight="1">
      <c r="B13" s="11" t="s">
        <v>94</v>
      </c>
      <c r="C13" s="11">
        <v>50.0</v>
      </c>
      <c r="D13" s="9" t="s">
        <v>38</v>
      </c>
      <c r="K13" s="18"/>
      <c r="L13" s="18"/>
      <c r="M13" s="18"/>
      <c r="N13" s="18"/>
      <c r="O13" s="18"/>
      <c r="P13" s="18"/>
    </row>
    <row r="14" ht="14.25" customHeight="1">
      <c r="B14" s="19" t="s">
        <v>90</v>
      </c>
      <c r="C14" s="19">
        <v>100.0</v>
      </c>
      <c r="D14" s="20" t="s">
        <v>38</v>
      </c>
      <c r="K14" s="21"/>
      <c r="L14" s="21"/>
      <c r="M14" s="21"/>
      <c r="N14" s="21"/>
      <c r="O14" s="21"/>
      <c r="P14" s="21"/>
    </row>
    <row r="15" ht="14.25" customHeight="1">
      <c r="B15" s="22" t="s">
        <v>109</v>
      </c>
      <c r="C15" s="22">
        <v>100.0</v>
      </c>
      <c r="D15" s="23" t="s">
        <v>59</v>
      </c>
      <c r="K15" s="21"/>
      <c r="L15" s="21"/>
      <c r="M15" s="21"/>
      <c r="N15" s="21"/>
      <c r="O15" s="21"/>
      <c r="P15" s="21"/>
    </row>
    <row r="16" ht="14.25" customHeight="1">
      <c r="B16" s="25" t="s">
        <v>110</v>
      </c>
      <c r="C16" s="25">
        <v>100.0</v>
      </c>
      <c r="D16" s="27" t="s">
        <v>68</v>
      </c>
      <c r="K16" s="21"/>
      <c r="L16" s="21"/>
      <c r="M16" s="21"/>
      <c r="N16" s="21"/>
      <c r="O16" s="21"/>
      <c r="P16" s="21"/>
    </row>
    <row r="17" ht="14.25" customHeight="1">
      <c r="B17" s="29" t="s">
        <v>112</v>
      </c>
      <c r="C17" s="29">
        <v>100.0</v>
      </c>
      <c r="D17" s="31" t="s">
        <v>75</v>
      </c>
      <c r="K17" s="21"/>
      <c r="L17" s="21"/>
      <c r="M17" s="21"/>
      <c r="N17" s="21"/>
      <c r="O17" s="21"/>
      <c r="P17" s="21"/>
    </row>
    <row r="18" ht="14.25" customHeight="1">
      <c r="B18" s="32" t="s">
        <v>113</v>
      </c>
      <c r="C18" s="32">
        <v>100.0</v>
      </c>
      <c r="D18" s="33" t="s">
        <v>88</v>
      </c>
      <c r="K18" s="21"/>
      <c r="L18" s="21"/>
      <c r="M18" s="21"/>
      <c r="N18" s="21"/>
      <c r="O18" s="21"/>
      <c r="P18" s="21"/>
    </row>
    <row r="19" ht="14.25" customHeight="1">
      <c r="B19" s="19"/>
      <c r="C19" s="19"/>
      <c r="D19" s="19"/>
      <c r="K19" s="21"/>
      <c r="L19" s="21"/>
      <c r="M19" s="21"/>
      <c r="N19" s="21"/>
      <c r="O19" s="21"/>
      <c r="P19" s="21"/>
    </row>
    <row r="20" ht="14.25" customHeight="1">
      <c r="B20" s="2" t="s">
        <v>115</v>
      </c>
      <c r="K20" s="2" t="s">
        <v>116</v>
      </c>
      <c r="L20" s="18"/>
      <c r="M20" s="18"/>
      <c r="N20" s="18"/>
      <c r="O20" s="18"/>
      <c r="P20" s="18"/>
    </row>
    <row r="21" ht="14.25" customHeight="1">
      <c r="B21" s="17" t="s">
        <v>80</v>
      </c>
      <c r="C21" s="17" t="s">
        <v>6</v>
      </c>
      <c r="D21" s="17" t="s">
        <v>24</v>
      </c>
      <c r="E21" s="17" t="s">
        <v>117</v>
      </c>
      <c r="F21" s="17" t="s">
        <v>119</v>
      </c>
      <c r="G21" s="17" t="s">
        <v>120</v>
      </c>
      <c r="H21" s="17" t="s">
        <v>122</v>
      </c>
      <c r="K21" s="34" t="s">
        <v>117</v>
      </c>
      <c r="L21" s="34" t="s">
        <v>24</v>
      </c>
      <c r="M21" s="35" t="s">
        <v>125</v>
      </c>
      <c r="N21" s="35" t="s">
        <v>127</v>
      </c>
      <c r="O21" s="35" t="s">
        <v>129</v>
      </c>
      <c r="P21" s="35" t="s">
        <v>131</v>
      </c>
    </row>
    <row r="22" ht="14.25" customHeight="1">
      <c r="B22" s="3" t="s">
        <v>133</v>
      </c>
      <c r="C22" s="3">
        <v>100.0</v>
      </c>
      <c r="D22" s="7" t="s">
        <v>33</v>
      </c>
      <c r="E22" s="3" t="s">
        <v>90</v>
      </c>
      <c r="F22" s="3">
        <v>10.0</v>
      </c>
      <c r="G22" s="3">
        <f t="shared" ref="G22:G29" si="1">C22*F22</f>
        <v>1000</v>
      </c>
      <c r="H22" s="6" t="s">
        <v>28</v>
      </c>
      <c r="K22" s="3" t="s">
        <v>90</v>
      </c>
      <c r="L22" s="7" t="s">
        <v>33</v>
      </c>
      <c r="M22" s="3">
        <v>40.0</v>
      </c>
      <c r="N22" s="3">
        <v>25.0</v>
      </c>
      <c r="O22" s="18">
        <v>2.60100001E8</v>
      </c>
      <c r="P22" s="18" t="s">
        <v>143</v>
      </c>
    </row>
    <row r="23" ht="14.25" customHeight="1">
      <c r="B23" s="3" t="s">
        <v>144</v>
      </c>
      <c r="C23" s="3">
        <v>50.0</v>
      </c>
      <c r="D23" s="7" t="s">
        <v>33</v>
      </c>
      <c r="E23" s="3" t="s">
        <v>90</v>
      </c>
      <c r="F23" s="3">
        <v>5.0</v>
      </c>
      <c r="G23" s="3">
        <f t="shared" si="1"/>
        <v>250</v>
      </c>
      <c r="K23" s="19" t="s">
        <v>90</v>
      </c>
      <c r="L23" s="20" t="s">
        <v>38</v>
      </c>
      <c r="M23" s="19">
        <v>20.0</v>
      </c>
      <c r="N23" s="3">
        <v>15.0</v>
      </c>
      <c r="O23" s="19">
        <v>2.60100002E8</v>
      </c>
      <c r="P23" s="19" t="s">
        <v>143</v>
      </c>
    </row>
    <row r="24" ht="14.25" customHeight="1">
      <c r="B24" s="11" t="s">
        <v>145</v>
      </c>
      <c r="C24" s="11">
        <v>25.0</v>
      </c>
      <c r="D24" s="9" t="s">
        <v>38</v>
      </c>
      <c r="E24" s="11" t="s">
        <v>94</v>
      </c>
      <c r="F24" s="11">
        <v>10.0</v>
      </c>
      <c r="G24" s="11">
        <f t="shared" si="1"/>
        <v>250</v>
      </c>
      <c r="H24" s="37" t="s">
        <v>35</v>
      </c>
      <c r="K24" s="19" t="s">
        <v>90</v>
      </c>
      <c r="L24" s="20" t="s">
        <v>38</v>
      </c>
      <c r="M24" s="19">
        <v>10.0</v>
      </c>
      <c r="N24" s="3">
        <v>7.5</v>
      </c>
      <c r="O24" s="19">
        <v>2.60100002E8</v>
      </c>
      <c r="P24" s="19" t="s">
        <v>148</v>
      </c>
    </row>
    <row r="25" ht="14.25" customHeight="1">
      <c r="B25" s="11" t="s">
        <v>149</v>
      </c>
      <c r="C25" s="11">
        <v>25.0</v>
      </c>
      <c r="D25" s="9" t="s">
        <v>38</v>
      </c>
      <c r="E25" s="11" t="s">
        <v>94</v>
      </c>
      <c r="F25" s="11">
        <v>5.0</v>
      </c>
      <c r="G25" s="11">
        <f t="shared" si="1"/>
        <v>125</v>
      </c>
      <c r="H25" s="11"/>
      <c r="K25" s="22" t="s">
        <v>109</v>
      </c>
      <c r="L25" s="23" t="s">
        <v>59</v>
      </c>
      <c r="M25" s="22">
        <v>30.0</v>
      </c>
      <c r="N25" s="3">
        <v>15.0</v>
      </c>
      <c r="O25" s="22">
        <v>2.60100003E8</v>
      </c>
      <c r="P25" s="22" t="s">
        <v>143</v>
      </c>
    </row>
    <row r="26" ht="14.25" customHeight="1">
      <c r="B26" s="19" t="s">
        <v>154</v>
      </c>
      <c r="C26" s="19">
        <v>50.0</v>
      </c>
      <c r="D26" s="20" t="s">
        <v>38</v>
      </c>
      <c r="E26" s="19" t="s">
        <v>90</v>
      </c>
      <c r="F26" s="19">
        <v>10.0</v>
      </c>
      <c r="G26" s="19">
        <f t="shared" si="1"/>
        <v>500</v>
      </c>
      <c r="H26" s="39" t="s">
        <v>35</v>
      </c>
      <c r="K26" s="11" t="s">
        <v>94</v>
      </c>
      <c r="L26" s="9" t="s">
        <v>38</v>
      </c>
      <c r="M26" s="11">
        <v>15.0</v>
      </c>
      <c r="N26" s="3">
        <v>25.0</v>
      </c>
      <c r="O26" s="11">
        <v>2.60100001E8</v>
      </c>
      <c r="P26" s="11" t="s">
        <v>157</v>
      </c>
    </row>
    <row r="27" ht="14.25" customHeight="1">
      <c r="B27" s="19" t="s">
        <v>158</v>
      </c>
      <c r="C27" s="19">
        <v>50.0</v>
      </c>
      <c r="D27" s="20" t="s">
        <v>38</v>
      </c>
      <c r="E27" s="19" t="s">
        <v>90</v>
      </c>
      <c r="F27" s="19">
        <v>5.0</v>
      </c>
      <c r="G27" s="19">
        <f t="shared" si="1"/>
        <v>250</v>
      </c>
      <c r="H27" s="19"/>
    </row>
    <row r="28" ht="14.25" customHeight="1">
      <c r="B28" s="22" t="s">
        <v>160</v>
      </c>
      <c r="C28" s="22">
        <v>100.0</v>
      </c>
      <c r="D28" s="23" t="s">
        <v>59</v>
      </c>
      <c r="E28" s="22" t="s">
        <v>109</v>
      </c>
      <c r="F28" s="22">
        <v>10.0</v>
      </c>
      <c r="G28" s="22">
        <f t="shared" si="1"/>
        <v>1000</v>
      </c>
      <c r="H28" s="42" t="s">
        <v>57</v>
      </c>
    </row>
    <row r="29" ht="14.25" customHeight="1">
      <c r="B29" s="22" t="s">
        <v>162</v>
      </c>
      <c r="C29" s="22">
        <v>50.0</v>
      </c>
      <c r="D29" s="23" t="s">
        <v>59</v>
      </c>
      <c r="E29" s="22" t="s">
        <v>109</v>
      </c>
      <c r="F29" s="22">
        <v>5.0</v>
      </c>
      <c r="G29" s="22">
        <f t="shared" si="1"/>
        <v>250</v>
      </c>
      <c r="H29" s="22"/>
    </row>
    <row r="30" ht="14.25" customHeight="1">
      <c r="B30" s="22" t="s">
        <v>110</v>
      </c>
      <c r="C30" s="22">
        <v>100.0</v>
      </c>
      <c r="D30" s="23" t="s">
        <v>68</v>
      </c>
      <c r="E30" s="22" t="s">
        <v>109</v>
      </c>
      <c r="F30" s="44" t="s">
        <v>165</v>
      </c>
      <c r="G30" s="44" t="s">
        <v>165</v>
      </c>
      <c r="H30" s="22"/>
    </row>
    <row r="31" ht="14.25" customHeight="1">
      <c r="B31" s="25" t="s">
        <v>168</v>
      </c>
      <c r="C31" s="25">
        <v>50.0</v>
      </c>
      <c r="D31" s="27" t="s">
        <v>68</v>
      </c>
      <c r="E31" s="25" t="s">
        <v>110</v>
      </c>
      <c r="F31" s="25">
        <v>10.0</v>
      </c>
      <c r="G31" s="25">
        <f t="shared" ref="G31:G34" si="2">C31*F31</f>
        <v>500</v>
      </c>
      <c r="H31" s="45" t="s">
        <v>65</v>
      </c>
    </row>
    <row r="32" ht="14.25" customHeight="1">
      <c r="B32" s="25" t="s">
        <v>169</v>
      </c>
      <c r="C32" s="25">
        <v>50.0</v>
      </c>
      <c r="D32" s="27" t="s">
        <v>68</v>
      </c>
      <c r="E32" s="25" t="s">
        <v>110</v>
      </c>
      <c r="F32" s="25">
        <v>5.0</v>
      </c>
      <c r="G32" s="25">
        <f t="shared" si="2"/>
        <v>250</v>
      </c>
      <c r="H32" s="25"/>
    </row>
    <row r="33" ht="14.25" customHeight="1">
      <c r="B33" s="29" t="s">
        <v>170</v>
      </c>
      <c r="C33" s="29">
        <v>100.0</v>
      </c>
      <c r="D33" s="31" t="s">
        <v>75</v>
      </c>
      <c r="E33" s="29" t="s">
        <v>112</v>
      </c>
      <c r="F33" s="29">
        <v>10.0</v>
      </c>
      <c r="G33" s="29">
        <f t="shared" si="2"/>
        <v>1000</v>
      </c>
      <c r="H33" s="47" t="s">
        <v>73</v>
      </c>
    </row>
    <row r="34" ht="14.25" customHeight="1">
      <c r="B34" s="29" t="s">
        <v>171</v>
      </c>
      <c r="C34" s="29">
        <v>50.0</v>
      </c>
      <c r="D34" s="31" t="s">
        <v>75</v>
      </c>
      <c r="E34" s="29" t="s">
        <v>112</v>
      </c>
      <c r="F34" s="29">
        <v>5.0</v>
      </c>
      <c r="G34" s="29">
        <f t="shared" si="2"/>
        <v>250</v>
      </c>
      <c r="H34" s="29"/>
    </row>
    <row r="35" ht="14.25" customHeight="1">
      <c r="B35" s="29" t="s">
        <v>113</v>
      </c>
      <c r="C35" s="29">
        <v>100.0</v>
      </c>
      <c r="D35" s="31" t="s">
        <v>75</v>
      </c>
      <c r="E35" s="29" t="s">
        <v>112</v>
      </c>
      <c r="F35" s="48" t="s">
        <v>165</v>
      </c>
      <c r="G35" s="48" t="s">
        <v>165</v>
      </c>
      <c r="H35" s="29"/>
    </row>
    <row r="36" ht="14.25" customHeight="1">
      <c r="B36" s="32" t="s">
        <v>173</v>
      </c>
      <c r="C36" s="32">
        <v>50.0</v>
      </c>
      <c r="D36" s="33" t="s">
        <v>88</v>
      </c>
      <c r="E36" s="32" t="s">
        <v>113</v>
      </c>
      <c r="F36" s="32">
        <v>10.0</v>
      </c>
      <c r="G36" s="32">
        <f t="shared" ref="G36:G37" si="3">C36*F36</f>
        <v>500</v>
      </c>
      <c r="H36" s="50" t="s">
        <v>86</v>
      </c>
    </row>
    <row r="37" ht="14.25" customHeight="1">
      <c r="B37" s="32" t="s">
        <v>177</v>
      </c>
      <c r="C37" s="32">
        <v>50.0</v>
      </c>
      <c r="D37" s="33" t="s">
        <v>88</v>
      </c>
      <c r="E37" s="32" t="s">
        <v>113</v>
      </c>
      <c r="F37" s="32">
        <v>5.0</v>
      </c>
      <c r="G37" s="32">
        <f t="shared" si="3"/>
        <v>250</v>
      </c>
      <c r="H37" s="32"/>
    </row>
    <row r="38" ht="14.25" customHeight="1">
      <c r="B38" s="25"/>
      <c r="C38" s="25"/>
      <c r="D38" s="25"/>
      <c r="E38" s="25"/>
      <c r="F38" s="25"/>
      <c r="G38" s="25"/>
      <c r="H38" s="25"/>
    </row>
    <row r="39" ht="14.25" customHeight="1">
      <c r="B39" s="25"/>
      <c r="C39" s="25"/>
      <c r="D39" s="25"/>
      <c r="E39" s="25"/>
      <c r="F39" s="25"/>
      <c r="G39" s="25"/>
      <c r="H39" s="25"/>
    </row>
    <row r="40" ht="14.25" customHeight="1"/>
    <row r="41" ht="14.25" customHeight="1">
      <c r="B41" s="2" t="s">
        <v>179</v>
      </c>
      <c r="F41" s="2" t="s">
        <v>180</v>
      </c>
      <c r="K41" s="2" t="s">
        <v>181</v>
      </c>
      <c r="L41" s="2"/>
      <c r="N41" s="2"/>
      <c r="O41" s="51" t="s">
        <v>182</v>
      </c>
      <c r="P41" s="52"/>
    </row>
    <row r="42" ht="14.25" customHeight="1">
      <c r="B42" s="34" t="s">
        <v>183</v>
      </c>
      <c r="C42" s="34" t="s">
        <v>122</v>
      </c>
      <c r="D42" s="34" t="s">
        <v>184</v>
      </c>
      <c r="E42" s="53"/>
      <c r="F42" s="34" t="s">
        <v>117</v>
      </c>
      <c r="G42" s="54" t="s">
        <v>24</v>
      </c>
      <c r="H42" s="34" t="s">
        <v>185</v>
      </c>
      <c r="I42" s="35" t="s">
        <v>186</v>
      </c>
      <c r="J42" s="53"/>
      <c r="K42" s="34" t="s">
        <v>117</v>
      </c>
      <c r="L42" s="34" t="s">
        <v>24</v>
      </c>
      <c r="M42" s="35" t="s">
        <v>185</v>
      </c>
      <c r="N42" s="35" t="s">
        <v>187</v>
      </c>
      <c r="O42" s="34" t="s">
        <v>188</v>
      </c>
      <c r="P42" s="34" t="s">
        <v>189</v>
      </c>
    </row>
    <row r="43" ht="14.25" customHeight="1">
      <c r="B43" s="6">
        <v>6.2111001E7</v>
      </c>
      <c r="C43" s="6" t="s">
        <v>28</v>
      </c>
      <c r="D43" s="55">
        <v>2000.0</v>
      </c>
      <c r="F43" s="3" t="s">
        <v>90</v>
      </c>
      <c r="G43" s="7" t="s">
        <v>33</v>
      </c>
      <c r="H43" s="3">
        <f>C22</f>
        <v>100</v>
      </c>
      <c r="I43" s="56">
        <v>100.0</v>
      </c>
      <c r="K43" s="3" t="s">
        <v>90</v>
      </c>
      <c r="L43" s="7" t="s">
        <v>33</v>
      </c>
      <c r="M43" s="3">
        <f>C22</f>
        <v>100</v>
      </c>
      <c r="N43" s="3">
        <f>(M43*F22) + G23</f>
        <v>1250</v>
      </c>
      <c r="O43" s="56">
        <f>((M43*D43)/I43)+G23</f>
        <v>2250</v>
      </c>
      <c r="P43" s="56">
        <f>((M43*$D$45)/$H$50) + D46</f>
        <v>1766.666667</v>
      </c>
    </row>
    <row r="44" ht="14.25" customHeight="1">
      <c r="B44" s="6">
        <v>6.2111001E7</v>
      </c>
      <c r="C44" s="6" t="s">
        <v>35</v>
      </c>
      <c r="D44" s="55">
        <v>3000.0</v>
      </c>
      <c r="F44" s="11" t="s">
        <v>94</v>
      </c>
      <c r="G44" s="9" t="s">
        <v>38</v>
      </c>
      <c r="H44" s="11">
        <f>C24</f>
        <v>25</v>
      </c>
      <c r="I44" s="57">
        <f>H44+H45</f>
        <v>75</v>
      </c>
      <c r="K44" s="11" t="s">
        <v>94</v>
      </c>
      <c r="L44" s="9" t="s">
        <v>38</v>
      </c>
      <c r="M44" s="11">
        <f>C24</f>
        <v>25</v>
      </c>
      <c r="N44" s="11">
        <f>(M44*F24) + G25</f>
        <v>375</v>
      </c>
      <c r="O44" s="57">
        <f>((M44*D44)/I44)+G25</f>
        <v>1125</v>
      </c>
      <c r="P44" s="56">
        <f t="shared" ref="P44:P48" si="4">(M44*$D$45)/$H$50</f>
        <v>66.66666667</v>
      </c>
    </row>
    <row r="45" ht="14.25" customHeight="1">
      <c r="B45" s="6">
        <v>6.2111001E7</v>
      </c>
      <c r="C45" s="6" t="s">
        <v>42</v>
      </c>
      <c r="D45" s="3">
        <v>1000.0</v>
      </c>
      <c r="F45" s="19" t="s">
        <v>90</v>
      </c>
      <c r="G45" s="20" t="s">
        <v>38</v>
      </c>
      <c r="H45" s="19">
        <f>C26</f>
        <v>50</v>
      </c>
      <c r="I45" s="58">
        <f>H44+H45</f>
        <v>75</v>
      </c>
      <c r="K45" s="19" t="s">
        <v>90</v>
      </c>
      <c r="L45" s="20" t="s">
        <v>38</v>
      </c>
      <c r="M45" s="19">
        <f>C26</f>
        <v>50</v>
      </c>
      <c r="N45" s="19">
        <f>(M45*F26) + G27</f>
        <v>750</v>
      </c>
      <c r="O45" s="58">
        <f>((M45*D44)/I45)+G27</f>
        <v>2250</v>
      </c>
      <c r="P45" s="58">
        <f t="shared" si="4"/>
        <v>133.3333333</v>
      </c>
    </row>
    <row r="46" ht="14.25" customHeight="1">
      <c r="B46" s="6">
        <v>6.2111001E7</v>
      </c>
      <c r="C46" s="6" t="s">
        <v>50</v>
      </c>
      <c r="D46" s="3">
        <v>1500.0</v>
      </c>
      <c r="F46" s="22" t="s">
        <v>109</v>
      </c>
      <c r="G46" s="23" t="s">
        <v>59</v>
      </c>
      <c r="H46" s="22">
        <f>C28</f>
        <v>100</v>
      </c>
      <c r="I46" s="22">
        <f t="shared" ref="I46:I48" si="5">H46</f>
        <v>100</v>
      </c>
      <c r="K46" s="22" t="s">
        <v>109</v>
      </c>
      <c r="L46" s="23" t="s">
        <v>59</v>
      </c>
      <c r="M46" s="22">
        <f>C28</f>
        <v>100</v>
      </c>
      <c r="N46" s="22">
        <f>(F28*M46)+G29</f>
        <v>1250</v>
      </c>
      <c r="O46" s="22">
        <f>((M46*D47)/I46)+G29</f>
        <v>3250</v>
      </c>
      <c r="P46" s="58">
        <f t="shared" si="4"/>
        <v>266.6666667</v>
      </c>
    </row>
    <row r="47" ht="14.25" customHeight="1">
      <c r="B47" s="6">
        <v>6.2111001E7</v>
      </c>
      <c r="C47" s="6" t="s">
        <v>57</v>
      </c>
      <c r="D47" s="55">
        <v>3000.0</v>
      </c>
      <c r="F47" s="25" t="s">
        <v>110</v>
      </c>
      <c r="G47" s="27" t="s">
        <v>68</v>
      </c>
      <c r="H47" s="25">
        <f>C31</f>
        <v>50</v>
      </c>
      <c r="I47" s="25">
        <f t="shared" si="5"/>
        <v>50</v>
      </c>
      <c r="J47" s="18"/>
      <c r="K47" s="25" t="s">
        <v>110</v>
      </c>
      <c r="L47" s="27" t="s">
        <v>68</v>
      </c>
      <c r="M47" s="25">
        <f>C31</f>
        <v>50</v>
      </c>
      <c r="N47" s="25">
        <f>(F31*M47)+G32</f>
        <v>750</v>
      </c>
      <c r="O47" s="25">
        <f>((M47*D48)/I47)+G32</f>
        <v>2250</v>
      </c>
      <c r="P47" s="58">
        <f t="shared" si="4"/>
        <v>133.3333333</v>
      </c>
    </row>
    <row r="48" ht="14.25" customHeight="1">
      <c r="B48" s="6">
        <v>6.2111001E7</v>
      </c>
      <c r="C48" s="6" t="s">
        <v>65</v>
      </c>
      <c r="D48" s="55">
        <v>2000.0</v>
      </c>
      <c r="F48" s="66" t="s">
        <v>113</v>
      </c>
      <c r="G48" s="67" t="s">
        <v>88</v>
      </c>
      <c r="H48" s="66">
        <f>C37</f>
        <v>50</v>
      </c>
      <c r="I48" s="66">
        <f t="shared" si="5"/>
        <v>50</v>
      </c>
      <c r="J48" s="66"/>
      <c r="K48" s="66" t="s">
        <v>113</v>
      </c>
      <c r="L48" s="67" t="s">
        <v>88</v>
      </c>
      <c r="M48" s="66">
        <f>C36</f>
        <v>50</v>
      </c>
      <c r="N48" s="66">
        <f>(F36*M48)+G37</f>
        <v>750</v>
      </c>
      <c r="O48" s="66">
        <f>((M48*D50)/I48)+G37</f>
        <v>3250</v>
      </c>
      <c r="P48" s="58">
        <f t="shared" si="4"/>
        <v>133.3333333</v>
      </c>
    </row>
    <row r="49" ht="14.25" customHeight="1">
      <c r="B49" s="6">
        <v>6.2111001E7</v>
      </c>
      <c r="C49" s="6" t="s">
        <v>73</v>
      </c>
      <c r="D49" s="55">
        <v>4000.0</v>
      </c>
    </row>
    <row r="50" ht="14.25" customHeight="1">
      <c r="B50" s="6">
        <v>6.2111001E7</v>
      </c>
      <c r="C50" s="6" t="s">
        <v>86</v>
      </c>
      <c r="D50" s="55">
        <v>3000.0</v>
      </c>
      <c r="G50" s="4"/>
      <c r="H50" s="71">
        <f>SUM(H43:H48)</f>
        <v>375</v>
      </c>
      <c r="I50" s="71"/>
      <c r="J50" s="18"/>
      <c r="K50" s="4"/>
      <c r="L50" s="4"/>
      <c r="M50" s="4"/>
      <c r="N50" s="4"/>
      <c r="O50" s="4"/>
      <c r="P50" s="4"/>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O41:P41"/>
  </mergeCell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14"/>
    <col customWidth="1" min="2" max="2" width="26.71"/>
    <col customWidth="1" min="3" max="3" width="20.29"/>
    <col customWidth="1" min="4" max="4" width="16.43"/>
    <col customWidth="1" min="8" max="8" width="36.14"/>
    <col customWidth="1" min="9" max="9" width="7.71"/>
    <col customWidth="1" min="10" max="10" width="67.0"/>
    <col customWidth="1" min="11" max="11" width="17.0"/>
  </cols>
  <sheetData>
    <row r="2">
      <c r="A2" s="1" t="s">
        <v>1</v>
      </c>
      <c r="B2" s="1" t="s">
        <v>7</v>
      </c>
      <c r="J2" s="1" t="s">
        <v>9</v>
      </c>
    </row>
    <row r="3">
      <c r="A3" s="1" t="s">
        <v>11</v>
      </c>
      <c r="B3" s="1" t="s">
        <v>13</v>
      </c>
      <c r="J3" s="1" t="s">
        <v>15</v>
      </c>
    </row>
    <row r="4">
      <c r="A4" s="1" t="s">
        <v>16</v>
      </c>
      <c r="B4" s="1" t="s">
        <v>17</v>
      </c>
      <c r="J4" s="1" t="s">
        <v>19</v>
      </c>
    </row>
    <row r="5">
      <c r="A5" s="1" t="s">
        <v>20</v>
      </c>
      <c r="B5" s="1" t="s">
        <v>22</v>
      </c>
      <c r="J5" s="1" t="s">
        <v>23</v>
      </c>
    </row>
    <row r="6">
      <c r="A6" s="1" t="s">
        <v>26</v>
      </c>
      <c r="B6" s="1" t="s">
        <v>27</v>
      </c>
      <c r="C6" s="1" t="s">
        <v>30</v>
      </c>
      <c r="D6" s="1"/>
      <c r="H6" s="1" t="s">
        <v>36</v>
      </c>
      <c r="J6" s="1" t="s">
        <v>39</v>
      </c>
    </row>
    <row r="7">
      <c r="C7" s="10" t="s">
        <v>3</v>
      </c>
      <c r="D7" s="12">
        <v>2.0260609003E10</v>
      </c>
      <c r="E7" s="1" t="s">
        <v>47</v>
      </c>
      <c r="F7" s="13" t="s">
        <v>51</v>
      </c>
      <c r="G7" s="13" t="s">
        <v>55</v>
      </c>
      <c r="J7" s="1" t="s">
        <v>58</v>
      </c>
    </row>
    <row r="8">
      <c r="C8" s="1" t="s">
        <v>61</v>
      </c>
      <c r="D8" s="1" t="s">
        <v>1</v>
      </c>
      <c r="J8" s="1" t="s">
        <v>64</v>
      </c>
    </row>
    <row r="9">
      <c r="C9" s="1" t="s">
        <v>67</v>
      </c>
      <c r="D9" s="15">
        <v>100.0</v>
      </c>
      <c r="E9" s="1"/>
      <c r="F9" s="1"/>
      <c r="G9" s="1"/>
      <c r="H9" s="1" t="s">
        <v>74</v>
      </c>
      <c r="J9" s="1" t="s">
        <v>77</v>
      </c>
    </row>
    <row r="10">
      <c r="D10" s="16"/>
      <c r="E10" s="16"/>
      <c r="F10" s="16"/>
      <c r="G10" s="16"/>
      <c r="J10" s="1" t="s">
        <v>82</v>
      </c>
    </row>
    <row r="11">
      <c r="C11" s="1" t="s">
        <v>85</v>
      </c>
      <c r="D11" s="16" t="s">
        <v>87</v>
      </c>
      <c r="E11" s="16" t="s">
        <v>89</v>
      </c>
      <c r="F11" s="16" t="s">
        <v>6</v>
      </c>
      <c r="G11" s="16" t="s">
        <v>91</v>
      </c>
      <c r="J11" s="1" t="s">
        <v>92</v>
      </c>
    </row>
    <row r="12">
      <c r="C12" s="1">
        <v>1.0</v>
      </c>
      <c r="D12" s="1" t="s">
        <v>11</v>
      </c>
      <c r="E12" s="1" t="s">
        <v>97</v>
      </c>
      <c r="F12" s="1">
        <v>100.0</v>
      </c>
      <c r="G12" s="1" t="s">
        <v>99</v>
      </c>
      <c r="H12" s="1" t="s">
        <v>100</v>
      </c>
      <c r="J12" s="1" t="s">
        <v>101</v>
      </c>
    </row>
    <row r="13">
      <c r="C13" s="1">
        <v>2.0</v>
      </c>
      <c r="D13" s="1" t="s">
        <v>102</v>
      </c>
      <c r="J13" s="1" t="s">
        <v>103</v>
      </c>
    </row>
    <row r="14">
      <c r="C14" s="1">
        <v>3.0</v>
      </c>
      <c r="D14" s="1" t="s">
        <v>104</v>
      </c>
      <c r="J14" s="1" t="s">
        <v>105</v>
      </c>
    </row>
    <row r="15">
      <c r="J15" s="1" t="s">
        <v>106</v>
      </c>
    </row>
    <row r="16">
      <c r="J16" s="1" t="s">
        <v>107</v>
      </c>
    </row>
    <row r="17">
      <c r="C17" s="10" t="s">
        <v>3</v>
      </c>
      <c r="D17" s="12">
        <v>2.0260609002E10</v>
      </c>
      <c r="E17" s="1" t="s">
        <v>108</v>
      </c>
      <c r="F17" s="13" t="s">
        <v>51</v>
      </c>
      <c r="G17" s="13" t="s">
        <v>55</v>
      </c>
    </row>
    <row r="18">
      <c r="C18" s="1" t="s">
        <v>61</v>
      </c>
      <c r="D18" s="1" t="s">
        <v>11</v>
      </c>
    </row>
    <row r="19">
      <c r="C19" s="1" t="s">
        <v>67</v>
      </c>
      <c r="D19" s="15">
        <v>100.0</v>
      </c>
      <c r="E19" s="1" t="s">
        <v>111</v>
      </c>
      <c r="F19" s="1"/>
      <c r="G19" s="1"/>
    </row>
    <row r="20">
      <c r="D20" s="16"/>
      <c r="E20" s="16"/>
      <c r="F20" s="16"/>
      <c r="G20" s="16"/>
    </row>
    <row r="21">
      <c r="D21" s="16" t="s">
        <v>87</v>
      </c>
      <c r="E21" s="16" t="s">
        <v>89</v>
      </c>
      <c r="F21" s="16" t="s">
        <v>6</v>
      </c>
      <c r="G21" s="16" t="s">
        <v>91</v>
      </c>
    </row>
    <row r="22">
      <c r="D22" s="1" t="s">
        <v>16</v>
      </c>
      <c r="E22" s="1" t="s">
        <v>114</v>
      </c>
      <c r="F22" s="1">
        <v>100.0</v>
      </c>
      <c r="G22" s="1" t="s">
        <v>99</v>
      </c>
    </row>
    <row r="23">
      <c r="D23" s="1" t="s">
        <v>102</v>
      </c>
    </row>
    <row r="24">
      <c r="D24" s="1" t="s">
        <v>104</v>
      </c>
    </row>
    <row r="26">
      <c r="C26" s="10" t="s">
        <v>3</v>
      </c>
      <c r="D26" s="12">
        <v>2.0260609001E10</v>
      </c>
      <c r="F26" s="13" t="s">
        <v>51</v>
      </c>
      <c r="G26" s="13" t="s">
        <v>55</v>
      </c>
    </row>
    <row r="27">
      <c r="C27" s="1" t="s">
        <v>61</v>
      </c>
      <c r="E27" s="1" t="s">
        <v>114</v>
      </c>
    </row>
    <row r="28">
      <c r="C28" s="1" t="s">
        <v>67</v>
      </c>
      <c r="D28" s="15">
        <v>100.0</v>
      </c>
    </row>
    <row r="29">
      <c r="D29" s="16"/>
      <c r="E29" s="16"/>
      <c r="F29" s="16"/>
      <c r="G29" s="16"/>
    </row>
    <row r="30">
      <c r="C30" s="1" t="s">
        <v>85</v>
      </c>
      <c r="D30" s="16" t="s">
        <v>87</v>
      </c>
      <c r="E30" s="16" t="s">
        <v>89</v>
      </c>
      <c r="F30" s="16" t="s">
        <v>6</v>
      </c>
      <c r="G30" s="16" t="s">
        <v>91</v>
      </c>
      <c r="I30" s="1" t="s">
        <v>121</v>
      </c>
      <c r="K30" s="1" t="s">
        <v>124</v>
      </c>
    </row>
    <row r="31">
      <c r="C31" s="1">
        <v>1.0</v>
      </c>
      <c r="D31" s="1" t="s">
        <v>20</v>
      </c>
      <c r="E31" s="1" t="s">
        <v>22</v>
      </c>
      <c r="F31" s="1">
        <v>5.0</v>
      </c>
      <c r="G31" s="1" t="s">
        <v>99</v>
      </c>
      <c r="J31" s="1" t="s">
        <v>126</v>
      </c>
      <c r="K31" s="1" t="s">
        <v>12</v>
      </c>
    </row>
    <row r="32">
      <c r="C32" s="1">
        <v>2.0</v>
      </c>
      <c r="D32" s="1" t="s">
        <v>128</v>
      </c>
      <c r="E32" s="1" t="s">
        <v>130</v>
      </c>
      <c r="F32" s="1">
        <v>2.0</v>
      </c>
      <c r="G32" s="1" t="s">
        <v>132</v>
      </c>
      <c r="I32" s="1" t="s">
        <v>134</v>
      </c>
      <c r="J32" s="1">
        <v>602012.0</v>
      </c>
      <c r="K32" s="1" t="s">
        <v>135</v>
      </c>
    </row>
    <row r="33">
      <c r="C33" s="1">
        <v>3.0</v>
      </c>
      <c r="D33" s="1" t="s">
        <v>136</v>
      </c>
      <c r="F33" s="1">
        <v>2.0</v>
      </c>
    </row>
    <row r="34">
      <c r="C34" s="1">
        <v>4.0</v>
      </c>
      <c r="D34" s="1" t="s">
        <v>134</v>
      </c>
      <c r="E34" s="1" t="s">
        <v>137</v>
      </c>
      <c r="F34" s="1">
        <v>2.0</v>
      </c>
      <c r="G34" s="1" t="s">
        <v>138</v>
      </c>
    </row>
    <row r="35">
      <c r="F35" s="1">
        <v>-5.0</v>
      </c>
    </row>
    <row r="37">
      <c r="D37" s="16" t="s">
        <v>139</v>
      </c>
      <c r="E37" s="16" t="s">
        <v>89</v>
      </c>
      <c r="F37" s="16" t="s">
        <v>6</v>
      </c>
      <c r="G37" s="16" t="s">
        <v>91</v>
      </c>
    </row>
    <row r="38">
      <c r="D38" s="1" t="s">
        <v>26</v>
      </c>
      <c r="E38" s="1" t="s">
        <v>140</v>
      </c>
      <c r="F38" s="1">
        <v>20.0</v>
      </c>
      <c r="G38" s="1" t="s">
        <v>132</v>
      </c>
      <c r="H38" s="1" t="s">
        <v>141</v>
      </c>
    </row>
    <row r="41">
      <c r="H41" s="1" t="s">
        <v>142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0"/>
    <col customWidth="1" min="3" max="3" width="24.86"/>
    <col customWidth="1" min="4" max="4" width="14.0"/>
    <col customWidth="1" min="5" max="5" width="14.14"/>
    <col customWidth="1" min="6" max="6" width="8.71"/>
    <col customWidth="1" min="8" max="8" width="25.14"/>
    <col customWidth="1" min="9" max="9" width="8.14"/>
    <col customWidth="1" min="10" max="10" width="13.57"/>
    <col customWidth="1" min="11" max="11" width="9.43"/>
    <col customWidth="1" min="15" max="15" width="27.43"/>
  </cols>
  <sheetData>
    <row r="1">
      <c r="D1" s="1" t="s">
        <v>3</v>
      </c>
      <c r="E1" s="1" t="s">
        <v>6</v>
      </c>
      <c r="J1" s="1" t="s">
        <v>6</v>
      </c>
      <c r="K1" s="1"/>
      <c r="L1" s="1" t="s">
        <v>3</v>
      </c>
      <c r="Q1" s="1" t="s">
        <v>3</v>
      </c>
    </row>
    <row r="2">
      <c r="A2" s="1">
        <v>1.0</v>
      </c>
      <c r="B2" s="5" t="s">
        <v>1</v>
      </c>
      <c r="C2" s="1" t="s">
        <v>31</v>
      </c>
      <c r="D2" s="1" t="s">
        <v>34</v>
      </c>
      <c r="E2" s="8">
        <v>50.0</v>
      </c>
      <c r="G2" s="5" t="s">
        <v>41</v>
      </c>
      <c r="H2" s="1" t="s">
        <v>43</v>
      </c>
      <c r="I2" s="1">
        <v>6.0</v>
      </c>
      <c r="J2" s="8">
        <v>50.0</v>
      </c>
      <c r="K2" s="1"/>
      <c r="L2" s="1" t="s">
        <v>48</v>
      </c>
      <c r="N2" s="5" t="s">
        <v>52</v>
      </c>
      <c r="O2" s="1" t="s">
        <v>56</v>
      </c>
      <c r="P2" s="1">
        <v>7.0</v>
      </c>
      <c r="Q2" s="1" t="s">
        <v>60</v>
      </c>
    </row>
    <row r="3">
      <c r="A3" s="1">
        <v>2.0</v>
      </c>
      <c r="B3" s="5" t="s">
        <v>11</v>
      </c>
      <c r="C3" s="1" t="s">
        <v>66</v>
      </c>
      <c r="D3" s="1" t="s">
        <v>69</v>
      </c>
      <c r="E3" s="1">
        <v>50.0</v>
      </c>
      <c r="G3" s="1" t="s">
        <v>11</v>
      </c>
      <c r="H3" s="1" t="s">
        <v>66</v>
      </c>
      <c r="J3" s="1">
        <v>50.0</v>
      </c>
      <c r="K3" s="1"/>
      <c r="L3" s="1" t="s">
        <v>76</v>
      </c>
      <c r="N3" s="5" t="s">
        <v>78</v>
      </c>
      <c r="O3" s="1" t="s">
        <v>79</v>
      </c>
      <c r="P3" s="1">
        <v>8.0</v>
      </c>
      <c r="Q3" s="1" t="s">
        <v>81</v>
      </c>
    </row>
    <row r="4">
      <c r="A4" s="1">
        <v>3.0</v>
      </c>
      <c r="B4" s="5" t="s">
        <v>16</v>
      </c>
      <c r="C4" s="1" t="s">
        <v>83</v>
      </c>
      <c r="D4" s="1" t="s">
        <v>84</v>
      </c>
      <c r="E4" s="1">
        <v>50.0</v>
      </c>
      <c r="G4" s="1" t="s">
        <v>16</v>
      </c>
      <c r="H4" s="1" t="s">
        <v>83</v>
      </c>
      <c r="J4" s="1">
        <v>50.0</v>
      </c>
      <c r="K4" s="1"/>
      <c r="L4" s="1" t="s">
        <v>93</v>
      </c>
      <c r="N4" s="5" t="s">
        <v>95</v>
      </c>
      <c r="O4" s="1" t="s">
        <v>96</v>
      </c>
      <c r="P4" s="1">
        <v>9.0</v>
      </c>
      <c r="Q4" s="1" t="s">
        <v>98</v>
      </c>
    </row>
    <row r="5">
      <c r="A5" s="1">
        <v>4.0</v>
      </c>
      <c r="B5" s="1" t="s">
        <v>20</v>
      </c>
      <c r="C5" s="1" t="s">
        <v>22</v>
      </c>
      <c r="G5" s="1" t="s">
        <v>20</v>
      </c>
      <c r="H5" s="1" t="s">
        <v>22</v>
      </c>
      <c r="N5" s="1" t="s">
        <v>20</v>
      </c>
      <c r="O5" s="1" t="s">
        <v>22</v>
      </c>
    </row>
    <row r="6">
      <c r="A6" s="1">
        <v>5.0</v>
      </c>
      <c r="B6" s="1" t="s">
        <v>26</v>
      </c>
      <c r="C6" s="1" t="s">
        <v>27</v>
      </c>
      <c r="D6" s="1"/>
      <c r="E6" s="1"/>
      <c r="F6" s="1" t="s">
        <v>30</v>
      </c>
      <c r="G6" s="1" t="s">
        <v>26</v>
      </c>
      <c r="H6" s="1" t="s">
        <v>27</v>
      </c>
      <c r="N6" s="1" t="s">
        <v>26</v>
      </c>
      <c r="O6" s="1" t="s">
        <v>27</v>
      </c>
    </row>
    <row r="7">
      <c r="A7" s="24"/>
      <c r="B7" s="24"/>
      <c r="C7" s="24"/>
      <c r="D7" s="26"/>
      <c r="E7" s="26"/>
      <c r="F7" s="26"/>
      <c r="G7" s="28"/>
      <c r="H7" s="26"/>
      <c r="I7" s="30"/>
      <c r="J7" s="30"/>
      <c r="K7" s="30"/>
      <c r="L7" s="30"/>
      <c r="M7" s="30"/>
      <c r="N7" s="24"/>
      <c r="O7" s="24"/>
      <c r="P7" s="24"/>
      <c r="Q7" s="24"/>
      <c r="R7" s="24"/>
      <c r="S7" s="24"/>
      <c r="T7" s="24"/>
      <c r="U7" s="24"/>
      <c r="V7" s="24"/>
      <c r="W7" s="24"/>
      <c r="X7" s="24"/>
      <c r="Y7" s="24"/>
      <c r="Z7" s="24"/>
      <c r="AA7" s="24"/>
      <c r="AB7" s="24"/>
      <c r="AC7" s="24"/>
      <c r="AD7" s="24"/>
      <c r="AE7" s="24"/>
    </row>
    <row r="11">
      <c r="B11" s="5" t="s">
        <v>11</v>
      </c>
      <c r="C11" s="1" t="s">
        <v>66</v>
      </c>
      <c r="D11" s="1" t="s">
        <v>118</v>
      </c>
      <c r="E11" s="8">
        <v>100.0</v>
      </c>
    </row>
    <row r="12">
      <c r="B12" s="5" t="s">
        <v>16</v>
      </c>
      <c r="C12" s="1" t="s">
        <v>83</v>
      </c>
      <c r="D12" s="1" t="s">
        <v>123</v>
      </c>
      <c r="E12" s="1">
        <v>100.0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10.86"/>
  </cols>
  <sheetData>
    <row r="1">
      <c r="A1" s="1" t="s">
        <v>0</v>
      </c>
      <c r="B1" s="1" t="s">
        <v>4</v>
      </c>
    </row>
    <row r="2">
      <c r="A2" s="1">
        <v>1.0</v>
      </c>
      <c r="B2" s="1" t="s">
        <v>8</v>
      </c>
    </row>
    <row r="3">
      <c r="A3" s="1">
        <v>2.0</v>
      </c>
      <c r="B3" s="1" t="s">
        <v>10</v>
      </c>
    </row>
    <row r="4">
      <c r="A4" s="1">
        <v>3.0</v>
      </c>
      <c r="B4" s="1" t="s">
        <v>14</v>
      </c>
    </row>
    <row r="5">
      <c r="A5" s="1">
        <v>4.0</v>
      </c>
      <c r="B5" s="1" t="s">
        <v>18</v>
      </c>
    </row>
    <row r="6">
      <c r="A6" s="1">
        <v>5.0</v>
      </c>
      <c r="B6" s="1" t="s">
        <v>21</v>
      </c>
    </row>
    <row r="7">
      <c r="A7" s="1">
        <v>6.0</v>
      </c>
      <c r="B7" s="1" t="s">
        <v>25</v>
      </c>
    </row>
    <row r="8">
      <c r="A8" s="1">
        <v>7.0</v>
      </c>
      <c r="B8" s="1" t="s">
        <v>29</v>
      </c>
    </row>
    <row r="9">
      <c r="A9" s="1">
        <v>8.0</v>
      </c>
      <c r="B9" s="1" t="s">
        <v>32</v>
      </c>
    </row>
    <row r="10">
      <c r="A10" s="1">
        <v>9.0</v>
      </c>
      <c r="B10" s="1" t="s">
        <v>37</v>
      </c>
    </row>
    <row r="11">
      <c r="A11" s="1">
        <v>10.0</v>
      </c>
      <c r="B11" s="1" t="s">
        <v>40</v>
      </c>
    </row>
    <row r="12">
      <c r="A12" s="1">
        <v>11.0</v>
      </c>
      <c r="B12" s="1" t="s">
        <v>44</v>
      </c>
    </row>
    <row r="13">
      <c r="A13" s="1">
        <v>12.0</v>
      </c>
      <c r="B13" s="1" t="s">
        <v>45</v>
      </c>
    </row>
    <row r="14">
      <c r="A14" s="1">
        <v>13.0</v>
      </c>
      <c r="B14" s="1" t="s">
        <v>49</v>
      </c>
    </row>
    <row r="15">
      <c r="A15" s="1">
        <v>14.0</v>
      </c>
      <c r="B15" s="1" t="s">
        <v>53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5.0"/>
    <col customWidth="1" min="3" max="3" width="9.86"/>
    <col customWidth="1" min="4" max="4" width="15.14"/>
    <col customWidth="1" min="5" max="5" width="19.43"/>
    <col customWidth="1" min="6" max="6" width="17.0"/>
  </cols>
  <sheetData>
    <row r="2">
      <c r="A2" s="36" t="s">
        <v>80</v>
      </c>
      <c r="B2" s="36" t="s">
        <v>146</v>
      </c>
      <c r="C2" s="36" t="s">
        <v>6</v>
      </c>
      <c r="D2" s="38" t="s">
        <v>147</v>
      </c>
      <c r="E2" s="38" t="s">
        <v>150</v>
      </c>
      <c r="F2" s="38" t="s">
        <v>151</v>
      </c>
    </row>
    <row r="3">
      <c r="A3" s="1" t="s">
        <v>152</v>
      </c>
      <c r="B3" s="1" t="s">
        <v>153</v>
      </c>
      <c r="C3" s="1">
        <v>100.0</v>
      </c>
      <c r="D3" s="1">
        <v>100.0</v>
      </c>
      <c r="E3" s="1">
        <v>0.0</v>
      </c>
      <c r="F3" s="1">
        <v>100.0</v>
      </c>
    </row>
    <row r="4">
      <c r="A4" s="1" t="s">
        <v>152</v>
      </c>
      <c r="B4" s="1" t="s">
        <v>155</v>
      </c>
      <c r="C4" s="1">
        <v>30.0</v>
      </c>
      <c r="D4" s="1">
        <v>100.0</v>
      </c>
      <c r="E4" s="1">
        <v>30.0</v>
      </c>
      <c r="F4" s="1">
        <v>70.0</v>
      </c>
    </row>
    <row r="5">
      <c r="A5" s="1" t="s">
        <v>152</v>
      </c>
      <c r="B5" s="1" t="s">
        <v>156</v>
      </c>
      <c r="C5" s="1">
        <v>30.0</v>
      </c>
      <c r="D5" s="1">
        <v>100.0</v>
      </c>
      <c r="E5" s="1">
        <v>0.0</v>
      </c>
      <c r="F5" s="1">
        <v>100.0</v>
      </c>
    </row>
    <row r="8">
      <c r="A8" s="36" t="s">
        <v>80</v>
      </c>
      <c r="B8" s="40" t="s">
        <v>159</v>
      </c>
      <c r="C8" s="40" t="s">
        <v>161</v>
      </c>
      <c r="D8" s="40" t="s">
        <v>6</v>
      </c>
      <c r="E8" s="41" t="s">
        <v>24</v>
      </c>
    </row>
    <row r="9">
      <c r="A9" s="1" t="s">
        <v>152</v>
      </c>
      <c r="B9" s="1" t="s">
        <v>153</v>
      </c>
      <c r="C9" s="1" t="s">
        <v>163</v>
      </c>
      <c r="D9" s="1">
        <v>100.0</v>
      </c>
    </row>
    <row r="10">
      <c r="A10" s="1" t="s">
        <v>152</v>
      </c>
      <c r="B10" s="1" t="s">
        <v>115</v>
      </c>
      <c r="C10" s="1" t="s">
        <v>164</v>
      </c>
      <c r="D10" s="1">
        <v>20.0</v>
      </c>
    </row>
    <row r="12">
      <c r="A12" s="43" t="s">
        <v>3</v>
      </c>
    </row>
    <row r="13">
      <c r="A13" s="1" t="s">
        <v>166</v>
      </c>
      <c r="B13" s="1" t="s">
        <v>167</v>
      </c>
      <c r="C13" s="1">
        <v>30.0</v>
      </c>
    </row>
    <row r="14">
      <c r="A14" s="1" t="s">
        <v>87</v>
      </c>
      <c r="B14" s="1" t="s">
        <v>152</v>
      </c>
      <c r="C14" s="1">
        <v>30.0</v>
      </c>
    </row>
    <row r="17">
      <c r="A17" s="36" t="s">
        <v>80</v>
      </c>
      <c r="B17" s="36" t="s">
        <v>146</v>
      </c>
      <c r="C17" s="36" t="s">
        <v>6</v>
      </c>
      <c r="D17" s="38" t="s">
        <v>147</v>
      </c>
      <c r="E17" s="38" t="s">
        <v>150</v>
      </c>
      <c r="F17" s="38" t="s">
        <v>151</v>
      </c>
    </row>
    <row r="18">
      <c r="A18" s="1" t="s">
        <v>152</v>
      </c>
      <c r="D18" s="1">
        <v>80.0</v>
      </c>
      <c r="E18" s="1">
        <v>30.0</v>
      </c>
      <c r="F18" s="1">
        <v>50.0</v>
      </c>
    </row>
    <row r="20">
      <c r="A20" s="46"/>
      <c r="B20" s="46"/>
      <c r="C20" s="46"/>
      <c r="D20" s="46"/>
      <c r="E20" s="46"/>
      <c r="F20" s="46"/>
    </row>
    <row r="23">
      <c r="A23" s="36" t="s">
        <v>80</v>
      </c>
      <c r="B23" s="40" t="s">
        <v>159</v>
      </c>
      <c r="C23" s="40" t="s">
        <v>161</v>
      </c>
      <c r="D23" s="40" t="s">
        <v>6</v>
      </c>
      <c r="E23" s="41" t="s">
        <v>24</v>
      </c>
      <c r="F23" s="43" t="s">
        <v>172</v>
      </c>
      <c r="G23" s="1" t="s">
        <v>3</v>
      </c>
    </row>
    <row r="24">
      <c r="A24" s="1" t="s">
        <v>152</v>
      </c>
      <c r="B24" s="1" t="s">
        <v>153</v>
      </c>
      <c r="C24" s="1" t="s">
        <v>163</v>
      </c>
      <c r="D24" s="1">
        <v>25.0</v>
      </c>
    </row>
    <row r="25">
      <c r="A25" s="1" t="s">
        <v>152</v>
      </c>
      <c r="B25" s="1" t="s">
        <v>115</v>
      </c>
      <c r="C25" s="1" t="s">
        <v>164</v>
      </c>
      <c r="D25" s="1">
        <v>20.0</v>
      </c>
      <c r="F25" s="49"/>
    </row>
    <row r="26">
      <c r="A26" s="1" t="s">
        <v>174</v>
      </c>
      <c r="C26" s="1" t="s">
        <v>164</v>
      </c>
      <c r="D26" s="1">
        <v>100.0</v>
      </c>
      <c r="F26" s="49">
        <v>46266.0</v>
      </c>
      <c r="G26" s="1" t="s">
        <v>175</v>
      </c>
    </row>
    <row r="27">
      <c r="A27" s="1" t="s">
        <v>176</v>
      </c>
      <c r="C27" s="1" t="s">
        <v>163</v>
      </c>
      <c r="D27" s="1">
        <v>50.0</v>
      </c>
      <c r="F27" s="49">
        <v>46280.0</v>
      </c>
      <c r="G27" s="1" t="s">
        <v>178</v>
      </c>
    </row>
    <row r="28">
      <c r="A28" s="26"/>
    </row>
    <row r="29">
      <c r="A29" s="43" t="s">
        <v>3</v>
      </c>
    </row>
    <row r="30">
      <c r="A30" s="1" t="s">
        <v>166</v>
      </c>
      <c r="B30" s="1" t="s">
        <v>167</v>
      </c>
      <c r="C30" s="1">
        <v>30.0</v>
      </c>
    </row>
    <row r="31">
      <c r="A31" s="1" t="s">
        <v>87</v>
      </c>
      <c r="B31" s="1" t="s">
        <v>152</v>
      </c>
      <c r="C31" s="1">
        <v>30.0</v>
      </c>
    </row>
    <row r="34">
      <c r="A34" s="36" t="s">
        <v>80</v>
      </c>
      <c r="B34" s="36" t="s">
        <v>146</v>
      </c>
      <c r="C34" s="36" t="s">
        <v>6</v>
      </c>
      <c r="D34" s="38" t="s">
        <v>147</v>
      </c>
      <c r="E34" s="38" t="s">
        <v>150</v>
      </c>
      <c r="F34" s="38" t="s">
        <v>151</v>
      </c>
    </row>
    <row r="35">
      <c r="A35" s="1" t="s">
        <v>152</v>
      </c>
      <c r="D35" s="1">
        <v>80.0</v>
      </c>
      <c r="E35" s="1">
        <v>30.0</v>
      </c>
      <c r="F35" s="1">
        <v>50.0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22.14"/>
    <col customWidth="1" min="9" max="9" width="18.14"/>
  </cols>
  <sheetData>
    <row r="1">
      <c r="F1" s="59" t="s">
        <v>190</v>
      </c>
      <c r="G1" s="60"/>
    </row>
    <row r="2">
      <c r="A2" s="1" t="s">
        <v>3</v>
      </c>
      <c r="B2" s="1" t="s">
        <v>167</v>
      </c>
      <c r="C2" s="1">
        <v>50.0</v>
      </c>
      <c r="F2" s="61" t="s">
        <v>191</v>
      </c>
      <c r="G2" s="61" t="s">
        <v>192</v>
      </c>
      <c r="H2" s="1" t="s">
        <v>80</v>
      </c>
      <c r="I2" s="1" t="s">
        <v>6</v>
      </c>
      <c r="J2" s="1" t="s">
        <v>24</v>
      </c>
      <c r="K2" s="1" t="s">
        <v>193</v>
      </c>
    </row>
    <row r="4">
      <c r="A4" s="1" t="s">
        <v>152</v>
      </c>
      <c r="B4" s="1">
        <v>50.0</v>
      </c>
    </row>
    <row r="5">
      <c r="A5" s="1" t="s">
        <v>194</v>
      </c>
      <c r="B5" s="1">
        <v>20.0</v>
      </c>
    </row>
    <row r="8">
      <c r="F8" s="59" t="s">
        <v>195</v>
      </c>
      <c r="G8" s="60"/>
    </row>
    <row r="9">
      <c r="F9" s="61" t="s">
        <v>191</v>
      </c>
      <c r="G9" s="61" t="s">
        <v>192</v>
      </c>
      <c r="H9" s="1" t="s">
        <v>80</v>
      </c>
      <c r="I9" s="1" t="s">
        <v>6</v>
      </c>
      <c r="J9" s="1" t="s">
        <v>24</v>
      </c>
      <c r="K9" s="1" t="s">
        <v>193</v>
      </c>
      <c r="L9" s="1" t="s">
        <v>197</v>
      </c>
    </row>
    <row r="10">
      <c r="B10" s="1" t="s">
        <v>80</v>
      </c>
      <c r="C10" s="1" t="s">
        <v>120</v>
      </c>
      <c r="D10" s="1" t="s">
        <v>24</v>
      </c>
      <c r="F10" s="1">
        <v>1.0</v>
      </c>
      <c r="G10" s="1">
        <v>1.0</v>
      </c>
      <c r="H10" s="61" t="s">
        <v>152</v>
      </c>
      <c r="I10" s="1">
        <v>50.0</v>
      </c>
      <c r="J10" s="62" t="s">
        <v>33</v>
      </c>
      <c r="K10" s="1">
        <v>2.0</v>
      </c>
      <c r="L10" s="1">
        <v>100.0</v>
      </c>
    </row>
    <row r="11">
      <c r="B11" s="1" t="s">
        <v>152</v>
      </c>
      <c r="C11" s="1" t="s">
        <v>165</v>
      </c>
      <c r="D11" s="63" t="s">
        <v>33</v>
      </c>
      <c r="E11" s="24"/>
      <c r="F11" s="26">
        <v>2.0</v>
      </c>
      <c r="G11" s="26">
        <v>1.0</v>
      </c>
      <c r="H11" s="1" t="s">
        <v>152</v>
      </c>
      <c r="I11" s="1">
        <v>30.0</v>
      </c>
      <c r="J11" s="63" t="s">
        <v>38</v>
      </c>
      <c r="K11" s="1">
        <v>3.0</v>
      </c>
      <c r="L11" s="1">
        <v>90.0</v>
      </c>
    </row>
    <row r="12">
      <c r="B12" s="1" t="s">
        <v>194</v>
      </c>
      <c r="C12" s="1">
        <v>3.0</v>
      </c>
      <c r="D12" s="63" t="s">
        <v>38</v>
      </c>
      <c r="E12" s="24"/>
      <c r="F12" s="26">
        <v>3.0</v>
      </c>
      <c r="G12" s="26">
        <v>1.0</v>
      </c>
      <c r="H12" s="68" t="s">
        <v>152</v>
      </c>
      <c r="I12" s="1">
        <v>30.0</v>
      </c>
      <c r="J12" s="69" t="s">
        <v>33</v>
      </c>
      <c r="K12" s="1">
        <v>4.0</v>
      </c>
      <c r="L12" s="1">
        <v>120.0</v>
      </c>
    </row>
    <row r="13">
      <c r="E13" s="24"/>
      <c r="F13" s="26"/>
      <c r="G13" s="24"/>
    </row>
    <row r="14">
      <c r="E14" s="24"/>
      <c r="F14" s="59" t="s">
        <v>195</v>
      </c>
      <c r="G14" s="60"/>
    </row>
    <row r="15">
      <c r="E15" s="24"/>
      <c r="F15" s="61" t="s">
        <v>191</v>
      </c>
      <c r="G15" s="61" t="s">
        <v>192</v>
      </c>
      <c r="H15" s="1" t="s">
        <v>80</v>
      </c>
      <c r="I15" s="1" t="s">
        <v>6</v>
      </c>
      <c r="J15" s="1" t="s">
        <v>24</v>
      </c>
      <c r="K15" s="1" t="s">
        <v>193</v>
      </c>
    </row>
    <row r="16">
      <c r="B16" s="1">
        <v>10.0</v>
      </c>
      <c r="C16" s="1">
        <v>10.0</v>
      </c>
      <c r="D16" s="1">
        <v>100.0</v>
      </c>
      <c r="E16" s="24"/>
      <c r="F16" s="1">
        <v>1.0</v>
      </c>
      <c r="G16" s="1">
        <v>1.0</v>
      </c>
      <c r="H16" s="1" t="s">
        <v>152</v>
      </c>
      <c r="I16" s="1">
        <v>50.0</v>
      </c>
      <c r="J16" s="63" t="s">
        <v>33</v>
      </c>
      <c r="K16" s="1">
        <v>2.0</v>
      </c>
    </row>
    <row r="17">
      <c r="B17" s="1">
        <v>10.0</v>
      </c>
      <c r="C17" s="1">
        <v>20.0</v>
      </c>
      <c r="D17" s="1">
        <v>200.0</v>
      </c>
      <c r="E17" s="24"/>
      <c r="F17" s="26">
        <v>2.0</v>
      </c>
      <c r="G17" s="26">
        <v>1.0</v>
      </c>
      <c r="H17" s="1" t="s">
        <v>152</v>
      </c>
      <c r="I17" s="1">
        <v>30.0</v>
      </c>
      <c r="J17" s="63" t="s">
        <v>38</v>
      </c>
      <c r="K17" s="1">
        <v>3.0</v>
      </c>
    </row>
    <row r="18">
      <c r="B18" s="1">
        <v>20.0</v>
      </c>
      <c r="C18" s="1">
        <v>15.0</v>
      </c>
      <c r="D18" s="1">
        <v>300.0</v>
      </c>
      <c r="E18" s="24"/>
      <c r="F18" s="26">
        <v>3.0</v>
      </c>
      <c r="G18" s="26">
        <v>1.0</v>
      </c>
      <c r="H18" s="1" t="s">
        <v>152</v>
      </c>
      <c r="I18" s="1">
        <v>30.0</v>
      </c>
      <c r="J18" s="63" t="s">
        <v>33</v>
      </c>
      <c r="K18" s="1">
        <v>4.0</v>
      </c>
    </row>
    <row r="19">
      <c r="E19" s="24"/>
      <c r="F19" s="26"/>
      <c r="G19" s="24"/>
      <c r="H19" s="24"/>
    </row>
    <row r="20">
      <c r="F20" s="59" t="s">
        <v>206</v>
      </c>
      <c r="G20" s="60"/>
    </row>
    <row r="21">
      <c r="F21" s="1" t="s">
        <v>80</v>
      </c>
      <c r="G21" s="1" t="s">
        <v>207</v>
      </c>
      <c r="H21" s="1" t="s">
        <v>208</v>
      </c>
      <c r="I21" s="1" t="s">
        <v>209</v>
      </c>
      <c r="J21" s="1" t="s">
        <v>24</v>
      </c>
    </row>
    <row r="24">
      <c r="F24" s="59" t="s">
        <v>210</v>
      </c>
      <c r="G24" s="60"/>
    </row>
    <row r="25">
      <c r="F25" s="1" t="s">
        <v>80</v>
      </c>
      <c r="G25" s="1" t="s">
        <v>207</v>
      </c>
      <c r="H25" s="1" t="s">
        <v>6</v>
      </c>
      <c r="I25" s="1" t="s">
        <v>24</v>
      </c>
      <c r="J25" s="1" t="s">
        <v>212</v>
      </c>
      <c r="K25" s="1" t="s">
        <v>214</v>
      </c>
      <c r="L25" s="61" t="s">
        <v>191</v>
      </c>
      <c r="M25" s="61" t="s">
        <v>192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B1" s="1" t="s">
        <v>196</v>
      </c>
    </row>
    <row r="2">
      <c r="B2" s="4" t="s">
        <v>12</v>
      </c>
      <c r="C2" s="4" t="s">
        <v>24</v>
      </c>
      <c r="D2" s="1" t="s">
        <v>2</v>
      </c>
      <c r="E2" s="1" t="s">
        <v>198</v>
      </c>
      <c r="G2" s="4" t="s">
        <v>12</v>
      </c>
      <c r="I2" s="1" t="s">
        <v>199</v>
      </c>
    </row>
    <row r="3">
      <c r="B3" s="64">
        <v>4010.0</v>
      </c>
      <c r="C3" s="65" t="s">
        <v>33</v>
      </c>
      <c r="D3" s="1" t="s">
        <v>200</v>
      </c>
      <c r="E3" s="1" t="s">
        <v>117</v>
      </c>
      <c r="F3" s="1">
        <v>200.0</v>
      </c>
      <c r="G3" s="6" t="s">
        <v>28</v>
      </c>
      <c r="I3" s="1" t="s">
        <v>117</v>
      </c>
      <c r="J3" s="1">
        <v>160.0</v>
      </c>
      <c r="K3" s="64">
        <v>4010.0</v>
      </c>
      <c r="L3" s="1" t="s">
        <v>201</v>
      </c>
    </row>
    <row r="4">
      <c r="B4" s="64">
        <v>4011.0</v>
      </c>
      <c r="C4" s="70" t="s">
        <v>33</v>
      </c>
      <c r="D4" s="1" t="s">
        <v>200</v>
      </c>
      <c r="G4" s="1"/>
      <c r="I4" s="1" t="s">
        <v>117</v>
      </c>
      <c r="J4" s="1">
        <v>40.0</v>
      </c>
      <c r="K4" s="64">
        <v>4011.0</v>
      </c>
      <c r="L4" s="1" t="s">
        <v>202</v>
      </c>
    </row>
    <row r="5">
      <c r="B5" s="6"/>
      <c r="C5" s="11"/>
      <c r="E5" s="1" t="s">
        <v>203</v>
      </c>
      <c r="G5" s="1"/>
    </row>
    <row r="6">
      <c r="B6" s="4" t="s">
        <v>12</v>
      </c>
      <c r="C6" s="4" t="s">
        <v>24</v>
      </c>
      <c r="E6" s="1" t="s">
        <v>117</v>
      </c>
      <c r="F6" s="1">
        <v>40.0</v>
      </c>
      <c r="G6" s="6" t="s">
        <v>35</v>
      </c>
    </row>
    <row r="7">
      <c r="B7" s="64">
        <v>5010.0</v>
      </c>
      <c r="C7" s="65" t="s">
        <v>38</v>
      </c>
      <c r="G7" s="1"/>
    </row>
    <row r="8">
      <c r="B8" s="64">
        <v>5011.0</v>
      </c>
      <c r="C8" s="70" t="s">
        <v>38</v>
      </c>
      <c r="E8" s="1" t="s">
        <v>204</v>
      </c>
      <c r="G8" s="1"/>
    </row>
    <row r="9">
      <c r="B9" s="1"/>
      <c r="E9" s="1" t="s">
        <v>205</v>
      </c>
      <c r="F9" s="1">
        <v>1000.0</v>
      </c>
      <c r="G9" s="6" t="s">
        <v>28</v>
      </c>
      <c r="I9" s="13" t="s">
        <v>205</v>
      </c>
      <c r="J9" s="1">
        <v>1000.0</v>
      </c>
      <c r="K9" s="6" t="s">
        <v>28</v>
      </c>
    </row>
    <row r="10">
      <c r="B10" s="1"/>
      <c r="E10" s="1" t="s">
        <v>205</v>
      </c>
      <c r="F10" s="1">
        <v>800.0</v>
      </c>
      <c r="G10" s="6" t="s">
        <v>35</v>
      </c>
    </row>
    <row r="11">
      <c r="B11" s="1"/>
      <c r="G11" s="1"/>
    </row>
    <row r="12">
      <c r="B12" s="72"/>
      <c r="G12" s="73"/>
    </row>
    <row r="13">
      <c r="B13" s="72"/>
      <c r="G13" s="73"/>
    </row>
    <row r="14">
      <c r="B14" s="72" t="s">
        <v>211</v>
      </c>
      <c r="G14" s="73" t="s">
        <v>213</v>
      </c>
    </row>
    <row r="15">
      <c r="C15" s="16" t="s">
        <v>215</v>
      </c>
      <c r="D15" s="16" t="s">
        <v>216</v>
      </c>
      <c r="E15" s="16" t="s">
        <v>217</v>
      </c>
      <c r="F15" s="16" t="s">
        <v>218</v>
      </c>
      <c r="G15" s="16" t="s">
        <v>219</v>
      </c>
      <c r="H15" s="16" t="s">
        <v>220</v>
      </c>
      <c r="I15" s="16" t="s">
        <v>221</v>
      </c>
      <c r="J15" s="16" t="s">
        <v>222</v>
      </c>
    </row>
    <row r="16">
      <c r="B16" s="1" t="s">
        <v>223</v>
      </c>
      <c r="C16" s="1">
        <v>42022.0</v>
      </c>
    </row>
    <row r="17">
      <c r="B17" s="1" t="s">
        <v>224</v>
      </c>
      <c r="C17" s="1">
        <v>40.0</v>
      </c>
    </row>
    <row r="18">
      <c r="B18" s="1" t="s">
        <v>225</v>
      </c>
      <c r="C18" s="1">
        <v>60155.0</v>
      </c>
      <c r="E18" s="1">
        <v>800.0</v>
      </c>
      <c r="G18" s="68">
        <v>4010.0</v>
      </c>
    </row>
    <row r="19">
      <c r="B19" s="1" t="s">
        <v>225</v>
      </c>
      <c r="C19" s="1">
        <v>60155.0</v>
      </c>
      <c r="E19" s="1">
        <v>200.0</v>
      </c>
      <c r="G19" s="68">
        <v>5010.0</v>
      </c>
    </row>
    <row r="22">
      <c r="C22" s="1" t="s">
        <v>215</v>
      </c>
      <c r="D22" s="1" t="s">
        <v>226</v>
      </c>
      <c r="E22" s="1" t="s">
        <v>227</v>
      </c>
      <c r="F22" s="1" t="s">
        <v>228</v>
      </c>
      <c r="G22" s="1" t="s">
        <v>229</v>
      </c>
      <c r="H22" s="1" t="s">
        <v>230</v>
      </c>
      <c r="I22" s="1" t="s">
        <v>231</v>
      </c>
      <c r="J22" s="1" t="s">
        <v>232</v>
      </c>
    </row>
    <row r="23">
      <c r="B23" s="1" t="s">
        <v>223</v>
      </c>
      <c r="C23" s="1">
        <v>42022.0</v>
      </c>
    </row>
    <row r="24">
      <c r="B24" s="1" t="s">
        <v>224</v>
      </c>
      <c r="C24" s="1">
        <v>40.0</v>
      </c>
    </row>
    <row r="25">
      <c r="B25" s="1" t="s">
        <v>225</v>
      </c>
      <c r="C25" s="1">
        <v>60155.0</v>
      </c>
      <c r="E25" s="1">
        <v>2000.0</v>
      </c>
      <c r="G25" s="1" t="s">
        <v>233</v>
      </c>
    </row>
    <row r="28">
      <c r="B28" s="1" t="s">
        <v>3</v>
      </c>
      <c r="C28" s="1" t="s">
        <v>72</v>
      </c>
    </row>
    <row r="29">
      <c r="C29" s="1" t="s">
        <v>234</v>
      </c>
    </row>
    <row r="30">
      <c r="B30" s="1" t="s">
        <v>235</v>
      </c>
    </row>
    <row r="31">
      <c r="C31" s="1" t="s">
        <v>215</v>
      </c>
      <c r="D31" s="1" t="s">
        <v>6</v>
      </c>
      <c r="E31" s="1" t="s">
        <v>236</v>
      </c>
      <c r="F31" s="1" t="s">
        <v>197</v>
      </c>
      <c r="H31" s="1" t="s">
        <v>228</v>
      </c>
      <c r="I31" s="1" t="s">
        <v>229</v>
      </c>
      <c r="J31" s="1" t="s">
        <v>230</v>
      </c>
      <c r="K31" s="1" t="s">
        <v>231</v>
      </c>
      <c r="L31" s="1" t="s">
        <v>232</v>
      </c>
    </row>
    <row r="32">
      <c r="B32" s="1" t="s">
        <v>134</v>
      </c>
      <c r="C32" s="1" t="s">
        <v>237</v>
      </c>
      <c r="D32" s="1">
        <v>10.0</v>
      </c>
      <c r="E32" s="1">
        <v>5.0</v>
      </c>
      <c r="F32" s="1">
        <v>50.0</v>
      </c>
      <c r="I32" s="68" t="s">
        <v>238</v>
      </c>
    </row>
    <row r="35">
      <c r="B35" s="1" t="s">
        <v>239</v>
      </c>
      <c r="C35" s="1">
        <v>1000.0</v>
      </c>
    </row>
    <row r="36">
      <c r="B36" s="1" t="s">
        <v>240</v>
      </c>
      <c r="C36" s="1">
        <v>2000.0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8.0"/>
    <col customWidth="1" min="3" max="3" width="8.29"/>
    <col customWidth="1" min="4" max="4" width="56.57"/>
  </cols>
  <sheetData>
    <row r="1">
      <c r="B1" s="13" t="s">
        <v>241</v>
      </c>
      <c r="D1" s="13" t="s">
        <v>242</v>
      </c>
    </row>
    <row r="2">
      <c r="B2" s="1" t="s">
        <v>243</v>
      </c>
      <c r="D2" s="1" t="s">
        <v>244</v>
      </c>
    </row>
    <row r="3">
      <c r="B3" s="1" t="s">
        <v>245</v>
      </c>
    </row>
    <row r="4">
      <c r="D4" s="13" t="s">
        <v>246</v>
      </c>
    </row>
    <row r="5">
      <c r="B5" s="13" t="s">
        <v>247</v>
      </c>
      <c r="D5" s="1" t="s">
        <v>248</v>
      </c>
    </row>
    <row r="6" ht="30.0" customHeight="1">
      <c r="B6" s="74" t="s">
        <v>249</v>
      </c>
    </row>
    <row r="7">
      <c r="B7" s="1" t="s">
        <v>250</v>
      </c>
      <c r="D7" s="13" t="s">
        <v>251</v>
      </c>
    </row>
    <row r="8">
      <c r="B8" s="74" t="s">
        <v>252</v>
      </c>
      <c r="D8" s="75" t="s">
        <v>244</v>
      </c>
    </row>
    <row r="9">
      <c r="B9" s="74" t="s">
        <v>253</v>
      </c>
      <c r="D9" s="13" t="s">
        <v>254</v>
      </c>
    </row>
    <row r="10">
      <c r="B10" s="1" t="s">
        <v>255</v>
      </c>
      <c r="D10" s="1" t="s">
        <v>256</v>
      </c>
    </row>
    <row r="11">
      <c r="D11" s="74" t="s">
        <v>257</v>
      </c>
    </row>
    <row r="12">
      <c r="B12" s="13" t="s">
        <v>258</v>
      </c>
      <c r="D12" s="74" t="s">
        <v>259</v>
      </c>
    </row>
    <row r="13">
      <c r="B13" s="1" t="s">
        <v>260</v>
      </c>
    </row>
    <row r="14">
      <c r="B14" s="74" t="s">
        <v>261</v>
      </c>
      <c r="D14" s="13" t="s">
        <v>262</v>
      </c>
    </row>
    <row r="15">
      <c r="B15" s="13"/>
      <c r="D15" s="74" t="s">
        <v>263</v>
      </c>
    </row>
    <row r="16">
      <c r="B16" s="13" t="s">
        <v>264</v>
      </c>
    </row>
    <row r="17" ht="13.5" customHeight="1">
      <c r="B17" s="1" t="s">
        <v>265</v>
      </c>
    </row>
    <row r="18" ht="59.25" customHeight="1">
      <c r="B18" s="74" t="s">
        <v>266</v>
      </c>
    </row>
    <row r="19">
      <c r="B19" s="1" t="s">
        <v>267</v>
      </c>
    </row>
    <row r="23">
      <c r="B23" s="74"/>
    </row>
  </sheetData>
  <mergeCells count="2">
    <mergeCell ref="B17:D17"/>
    <mergeCell ref="B18:D1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29"/>
    <col customWidth="1" min="6" max="6" width="21.86"/>
    <col customWidth="1" min="9" max="9" width="23.14"/>
  </cols>
  <sheetData>
    <row r="1">
      <c r="F1" s="1" t="s">
        <v>268</v>
      </c>
      <c r="G1" s="13" t="s">
        <v>213</v>
      </c>
      <c r="H1" s="1" t="s">
        <v>269</v>
      </c>
      <c r="I1" s="1" t="s">
        <v>270</v>
      </c>
    </row>
    <row r="2">
      <c r="B2" s="16" t="s">
        <v>204</v>
      </c>
      <c r="C2" s="16" t="s">
        <v>271</v>
      </c>
      <c r="D2" s="16" t="s">
        <v>184</v>
      </c>
      <c r="E2" s="16" t="s">
        <v>272</v>
      </c>
      <c r="F2" s="16" t="s">
        <v>218</v>
      </c>
      <c r="G2" s="16" t="s">
        <v>219</v>
      </c>
      <c r="H2" s="16" t="s">
        <v>220</v>
      </c>
      <c r="I2" s="16" t="s">
        <v>221</v>
      </c>
      <c r="J2" s="16" t="s">
        <v>222</v>
      </c>
    </row>
    <row r="3">
      <c r="B3" s="1" t="s">
        <v>275</v>
      </c>
      <c r="C3" s="1" t="s">
        <v>276</v>
      </c>
      <c r="D3" s="1">
        <v>5000.0</v>
      </c>
      <c r="E3" s="1" t="s">
        <v>224</v>
      </c>
      <c r="G3" s="63" t="s">
        <v>277</v>
      </c>
    </row>
    <row r="5">
      <c r="F5" s="1" t="s">
        <v>268</v>
      </c>
      <c r="G5" s="13" t="s">
        <v>213</v>
      </c>
      <c r="H5" s="1" t="s">
        <v>269</v>
      </c>
    </row>
    <row r="6">
      <c r="B6" s="16" t="s">
        <v>204</v>
      </c>
      <c r="C6" s="16" t="s">
        <v>271</v>
      </c>
      <c r="D6" s="16" t="s">
        <v>184</v>
      </c>
      <c r="E6" s="16" t="s">
        <v>272</v>
      </c>
      <c r="F6" s="16" t="s">
        <v>218</v>
      </c>
      <c r="G6" s="16" t="s">
        <v>219</v>
      </c>
      <c r="H6" s="16" t="s">
        <v>220</v>
      </c>
      <c r="I6" s="16" t="s">
        <v>221</v>
      </c>
      <c r="J6" s="16" t="s">
        <v>222</v>
      </c>
    </row>
    <row r="7">
      <c r="B7" s="1" t="s">
        <v>280</v>
      </c>
      <c r="C7" s="1" t="s">
        <v>276</v>
      </c>
      <c r="D7" s="1">
        <v>2000.0</v>
      </c>
      <c r="E7" s="1" t="s">
        <v>224</v>
      </c>
      <c r="F7" s="1">
        <v>13023.0</v>
      </c>
      <c r="G7" s="63" t="s">
        <v>277</v>
      </c>
    </row>
    <row r="8">
      <c r="F8" s="63" t="s">
        <v>284</v>
      </c>
    </row>
    <row r="10">
      <c r="C10" s="16" t="s">
        <v>215</v>
      </c>
      <c r="D10" s="16" t="s">
        <v>216</v>
      </c>
      <c r="E10" s="16" t="s">
        <v>217</v>
      </c>
      <c r="F10" s="16" t="s">
        <v>218</v>
      </c>
      <c r="G10" s="16" t="s">
        <v>219</v>
      </c>
      <c r="H10" s="16" t="s">
        <v>220</v>
      </c>
      <c r="I10" s="16" t="s">
        <v>221</v>
      </c>
      <c r="J10" s="16" t="s">
        <v>222</v>
      </c>
    </row>
    <row r="11">
      <c r="C11" s="1">
        <v>60.0</v>
      </c>
      <c r="G11" s="63" t="s">
        <v>293</v>
      </c>
    </row>
    <row r="12">
      <c r="B12" s="1" t="s">
        <v>224</v>
      </c>
      <c r="C12" s="1">
        <v>40.0</v>
      </c>
    </row>
    <row r="14">
      <c r="B14" s="80"/>
      <c r="C14" s="80"/>
      <c r="D14" s="80"/>
      <c r="E14" s="80"/>
      <c r="F14" s="80"/>
      <c r="G14" s="80"/>
      <c r="H14" s="80"/>
      <c r="I14" s="80"/>
      <c r="J14" s="80"/>
    </row>
    <row r="16">
      <c r="B16" s="16" t="s">
        <v>296</v>
      </c>
      <c r="C16" s="16" t="s">
        <v>271</v>
      </c>
      <c r="D16" s="16" t="s">
        <v>184</v>
      </c>
      <c r="E16" s="16" t="s">
        <v>272</v>
      </c>
      <c r="F16" s="16" t="s">
        <v>218</v>
      </c>
      <c r="G16" s="16" t="s">
        <v>219</v>
      </c>
      <c r="H16" s="16" t="s">
        <v>220</v>
      </c>
      <c r="I16" s="16" t="s">
        <v>221</v>
      </c>
      <c r="J16" s="16" t="s">
        <v>222</v>
      </c>
    </row>
    <row r="17">
      <c r="B17" s="1" t="s">
        <v>297</v>
      </c>
      <c r="C17" s="1" t="s">
        <v>276</v>
      </c>
      <c r="D17" s="1">
        <v>1000.0</v>
      </c>
      <c r="E17" s="1" t="s">
        <v>224</v>
      </c>
      <c r="G17" s="63" t="s">
        <v>293</v>
      </c>
    </row>
    <row r="18">
      <c r="B18" s="81"/>
      <c r="F18" s="1" t="s">
        <v>298</v>
      </c>
      <c r="G18" s="1" t="s">
        <v>299</v>
      </c>
    </row>
    <row r="19">
      <c r="B19" s="16" t="s">
        <v>204</v>
      </c>
      <c r="C19" s="16" t="s">
        <v>271</v>
      </c>
      <c r="D19" s="16" t="s">
        <v>184</v>
      </c>
      <c r="E19" s="16" t="s">
        <v>272</v>
      </c>
      <c r="F19" s="16" t="s">
        <v>218</v>
      </c>
      <c r="G19" s="16" t="s">
        <v>219</v>
      </c>
      <c r="H19" s="16" t="s">
        <v>220</v>
      </c>
      <c r="I19" s="16" t="s">
        <v>221</v>
      </c>
      <c r="J19" s="16" t="s">
        <v>222</v>
      </c>
    </row>
    <row r="20">
      <c r="B20" s="1" t="s">
        <v>300</v>
      </c>
      <c r="C20" s="1" t="s">
        <v>276</v>
      </c>
      <c r="D20" s="1">
        <v>5000.0</v>
      </c>
      <c r="E20" s="1" t="s">
        <v>224</v>
      </c>
      <c r="F20" s="63" t="s">
        <v>301</v>
      </c>
      <c r="G20" s="63" t="s">
        <v>302</v>
      </c>
    </row>
    <row r="21">
      <c r="F21" s="1" t="s">
        <v>303</v>
      </c>
      <c r="G21" s="1" t="s">
        <v>304</v>
      </c>
    </row>
    <row r="26">
      <c r="B26" s="82" t="s">
        <v>305</v>
      </c>
    </row>
    <row r="27">
      <c r="B27" s="82" t="s">
        <v>306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14"/>
    <col customWidth="1" min="2" max="2" width="102.0"/>
    <col customWidth="1" min="3" max="3" width="33.14"/>
  </cols>
  <sheetData>
    <row r="2">
      <c r="A2" s="1" t="s">
        <v>273</v>
      </c>
    </row>
    <row r="3">
      <c r="A3" s="1"/>
    </row>
    <row r="4">
      <c r="A4" s="76" t="s">
        <v>274</v>
      </c>
      <c r="B4" s="76" t="s">
        <v>0</v>
      </c>
    </row>
    <row r="5">
      <c r="A5" s="77">
        <v>1.0</v>
      </c>
      <c r="B5" s="74" t="s">
        <v>279</v>
      </c>
    </row>
    <row r="6">
      <c r="A6" s="77">
        <v>2.0</v>
      </c>
      <c r="B6" s="74" t="s">
        <v>281</v>
      </c>
    </row>
    <row r="7">
      <c r="A7" s="77">
        <v>3.0</v>
      </c>
      <c r="B7" s="1" t="s">
        <v>283</v>
      </c>
    </row>
    <row r="8">
      <c r="A8" s="77">
        <v>4.0</v>
      </c>
      <c r="B8" s="74" t="s">
        <v>285</v>
      </c>
    </row>
    <row r="9">
      <c r="A9" s="77">
        <v>5.0</v>
      </c>
      <c r="B9" s="74" t="s">
        <v>287</v>
      </c>
    </row>
    <row r="10">
      <c r="A10" s="77">
        <v>6.0</v>
      </c>
      <c r="B10" s="74" t="s">
        <v>288</v>
      </c>
    </row>
    <row r="11">
      <c r="A11" s="77">
        <v>7.0</v>
      </c>
      <c r="B11" s="74" t="s">
        <v>289</v>
      </c>
      <c r="C11" s="1" t="s">
        <v>290</v>
      </c>
    </row>
    <row r="12">
      <c r="A12" s="79"/>
    </row>
    <row r="13">
      <c r="A13" s="76" t="s">
        <v>274</v>
      </c>
      <c r="B13" s="76" t="s">
        <v>291</v>
      </c>
    </row>
    <row r="14">
      <c r="A14" s="77">
        <v>1.0</v>
      </c>
      <c r="B14" s="74" t="s">
        <v>292</v>
      </c>
    </row>
    <row r="15">
      <c r="A15" s="79"/>
    </row>
    <row r="16">
      <c r="A16" s="79"/>
    </row>
    <row r="17">
      <c r="A17" s="79"/>
    </row>
    <row r="18">
      <c r="A18" s="79"/>
    </row>
    <row r="19">
      <c r="A19" s="79"/>
    </row>
    <row r="20">
      <c r="A20" s="7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8.43"/>
    <col customWidth="1" min="5" max="5" width="18.71"/>
  </cols>
  <sheetData>
    <row r="1">
      <c r="E1" s="5" t="s">
        <v>278</v>
      </c>
    </row>
    <row r="2">
      <c r="B2" s="78" t="s">
        <v>117</v>
      </c>
      <c r="C2" s="78" t="s">
        <v>282</v>
      </c>
      <c r="D2" s="78">
        <v>1.0</v>
      </c>
      <c r="E2" s="1">
        <v>0.2</v>
      </c>
    </row>
    <row r="3">
      <c r="C3" s="1" t="s">
        <v>286</v>
      </c>
      <c r="D3" s="1">
        <v>2.0</v>
      </c>
      <c r="E3" s="3">
        <f t="shared" ref="E3:E5" si="1">D3*1.2</f>
        <v>2.4</v>
      </c>
    </row>
    <row r="4">
      <c r="C4" s="1" t="s">
        <v>294</v>
      </c>
      <c r="D4" s="1">
        <v>2.0</v>
      </c>
      <c r="E4" s="3">
        <f t="shared" si="1"/>
        <v>2.4</v>
      </c>
    </row>
    <row r="5">
      <c r="C5" s="1" t="s">
        <v>295</v>
      </c>
      <c r="D5" s="1">
        <v>0.5</v>
      </c>
      <c r="E5" s="3">
        <f t="shared" si="1"/>
        <v>0.6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0"/>
    <col customWidth="1" min="2" max="2" width="145.29"/>
  </cols>
  <sheetData>
    <row r="2">
      <c r="B2" s="74" t="s">
        <v>307</v>
      </c>
    </row>
    <row r="3">
      <c r="B3" s="74" t="s">
        <v>308</v>
      </c>
    </row>
    <row r="4">
      <c r="B4" s="74" t="s">
        <v>309</v>
      </c>
    </row>
    <row r="5">
      <c r="B5" s="1" t="s">
        <v>310</v>
      </c>
    </row>
    <row r="6">
      <c r="B6" s="1" t="s">
        <v>311</v>
      </c>
    </row>
    <row r="7">
      <c r="B7" s="1" t="s">
        <v>312</v>
      </c>
    </row>
    <row r="8">
      <c r="B8" s="1" t="s">
        <v>313</v>
      </c>
    </row>
    <row r="9">
      <c r="B9" s="1" t="s">
        <v>314</v>
      </c>
    </row>
    <row r="10">
      <c r="B10" s="1" t="s">
        <v>315</v>
      </c>
    </row>
    <row r="11">
      <c r="B11" s="1" t="s">
        <v>316</v>
      </c>
    </row>
    <row r="12">
      <c r="B12" s="1" t="s">
        <v>317</v>
      </c>
    </row>
    <row r="13">
      <c r="B13" s="1" t="s">
        <v>318</v>
      </c>
    </row>
    <row r="14">
      <c r="B14" s="1" t="s">
        <v>319</v>
      </c>
    </row>
    <row r="15">
      <c r="B15" s="74" t="s">
        <v>320</v>
      </c>
    </row>
    <row r="16">
      <c r="B16" s="1" t="s">
        <v>321</v>
      </c>
    </row>
    <row r="17">
      <c r="B17" s="1" t="s">
        <v>322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B2" s="1" t="s">
        <v>323</v>
      </c>
      <c r="G2" s="83" t="s">
        <v>324</v>
      </c>
      <c r="H2" s="83" t="s">
        <v>325</v>
      </c>
      <c r="I2" s="83" t="s">
        <v>326</v>
      </c>
      <c r="J2" s="83" t="s">
        <v>327</v>
      </c>
    </row>
    <row r="3">
      <c r="C3" s="1" t="s">
        <v>328</v>
      </c>
      <c r="G3" s="59" t="s">
        <v>329</v>
      </c>
      <c r="H3" s="59" t="s">
        <v>330</v>
      </c>
      <c r="I3" s="59" t="s">
        <v>328</v>
      </c>
      <c r="J3" s="59" t="s">
        <v>323</v>
      </c>
    </row>
    <row r="4">
      <c r="D4" s="1" t="s">
        <v>330</v>
      </c>
      <c r="G4" s="78" t="s">
        <v>331</v>
      </c>
      <c r="H4" s="78" t="s">
        <v>330</v>
      </c>
      <c r="I4" s="78" t="s">
        <v>328</v>
      </c>
      <c r="J4" s="78" t="s">
        <v>323</v>
      </c>
    </row>
    <row r="5">
      <c r="E5" s="1" t="s">
        <v>329</v>
      </c>
      <c r="G5" s="84"/>
      <c r="H5" s="78" t="s">
        <v>329</v>
      </c>
      <c r="I5" s="84"/>
      <c r="J5" s="84"/>
    </row>
    <row r="6">
      <c r="E6" s="1" t="s">
        <v>332</v>
      </c>
    </row>
    <row r="7">
      <c r="B7" s="1" t="s">
        <v>323</v>
      </c>
      <c r="G7" s="78" t="s">
        <v>331</v>
      </c>
      <c r="H7" s="78" t="s">
        <v>330</v>
      </c>
      <c r="I7" s="78" t="s">
        <v>329</v>
      </c>
      <c r="J7" s="78" t="s">
        <v>328</v>
      </c>
      <c r="K7" s="78" t="s">
        <v>323</v>
      </c>
    </row>
    <row r="8">
      <c r="C8" s="1" t="s">
        <v>328</v>
      </c>
      <c r="H8" s="78" t="s">
        <v>329</v>
      </c>
    </row>
    <row r="9">
      <c r="D9" s="1" t="s">
        <v>330</v>
      </c>
    </row>
    <row r="10">
      <c r="D10" s="1" t="s">
        <v>329</v>
      </c>
      <c r="I10" s="1" t="s">
        <v>333</v>
      </c>
    </row>
    <row r="11">
      <c r="E11" s="1" t="s">
        <v>331</v>
      </c>
      <c r="H11" s="78" t="s">
        <v>330</v>
      </c>
      <c r="I11" s="84"/>
    </row>
    <row r="12">
      <c r="I12" s="78" t="s">
        <v>329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71"/>
    <col customWidth="1" min="3" max="3" width="25.29"/>
    <col customWidth="1" min="4" max="4" width="23.0"/>
  </cols>
  <sheetData>
    <row r="2">
      <c r="B2" s="5" t="s">
        <v>334</v>
      </c>
      <c r="F2" s="1" t="s">
        <v>335</v>
      </c>
    </row>
    <row r="3">
      <c r="C3" s="1" t="s">
        <v>336</v>
      </c>
    </row>
    <row r="4">
      <c r="C4" s="1" t="s">
        <v>337</v>
      </c>
    </row>
    <row r="5">
      <c r="C5" s="5" t="s">
        <v>338</v>
      </c>
      <c r="F5" s="1" t="s">
        <v>339</v>
      </c>
    </row>
    <row r="6">
      <c r="D6" s="1" t="s">
        <v>340</v>
      </c>
    </row>
    <row r="7">
      <c r="D7" s="61" t="s">
        <v>341</v>
      </c>
      <c r="F7" s="1" t="s">
        <v>342</v>
      </c>
    </row>
    <row r="8">
      <c r="E8" s="1" t="s">
        <v>140</v>
      </c>
    </row>
    <row r="10">
      <c r="B10" s="5" t="s">
        <v>334</v>
      </c>
    </row>
    <row r="11">
      <c r="C11" s="1" t="s">
        <v>336</v>
      </c>
    </row>
    <row r="12">
      <c r="C12" s="1" t="s">
        <v>337</v>
      </c>
    </row>
    <row r="13">
      <c r="C13" s="5" t="s">
        <v>338</v>
      </c>
    </row>
    <row r="14">
      <c r="C14" s="61" t="s">
        <v>341</v>
      </c>
      <c r="D14" s="1" t="s">
        <v>340</v>
      </c>
    </row>
    <row r="15">
      <c r="D15" s="61" t="s">
        <v>341</v>
      </c>
    </row>
    <row r="16">
      <c r="E16" s="1" t="s">
        <v>140</v>
      </c>
    </row>
    <row r="17">
      <c r="E17" s="5" t="s">
        <v>334</v>
      </c>
      <c r="G17" s="1" t="s">
        <v>342</v>
      </c>
      <c r="H17" s="1" t="s">
        <v>339</v>
      </c>
      <c r="I17" s="1" t="s">
        <v>335</v>
      </c>
      <c r="J17" s="1" t="s">
        <v>343</v>
      </c>
    </row>
    <row r="22">
      <c r="B22" s="1" t="s">
        <v>344</v>
      </c>
      <c r="C22" s="1" t="s">
        <v>166</v>
      </c>
      <c r="E22" s="1" t="s">
        <v>345</v>
      </c>
      <c r="F22" s="1" t="s">
        <v>346</v>
      </c>
      <c r="G22" s="1" t="s">
        <v>347</v>
      </c>
    </row>
    <row r="23">
      <c r="D23" s="1" t="s">
        <v>87</v>
      </c>
    </row>
    <row r="24">
      <c r="E24" s="1" t="s">
        <v>345</v>
      </c>
      <c r="F24" s="1" t="s">
        <v>346</v>
      </c>
      <c r="G24" s="1" t="s">
        <v>347</v>
      </c>
    </row>
    <row r="25">
      <c r="E25" s="1" t="s">
        <v>85</v>
      </c>
      <c r="F25" s="1">
        <v>1.0</v>
      </c>
      <c r="G25" s="1" t="s">
        <v>347</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2026-02-24T16:33:47Z</dcterms:created>
  <dc:creator>PChacon</dc:creator>
</cp:coreProperties>
</file>